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raghavgroup.sharepoint.com/sites/CRM/Shared Documents/General/LAKSHYA TRACKERS MONTHLY/LAKSHYA CRM TRACKER/LAKSHYA CRM Tracker - April'26/Overall Summary/"/>
    </mc:Choice>
  </mc:AlternateContent>
  <xr:revisionPtr revIDLastSave="9618" documentId="8_{AED7C0B6-5B33-4314-A282-567B12F8F8BB}" xr6:coauthVersionLast="47" xr6:coauthVersionMax="47" xr10:uidLastSave="{CD8EE5AC-BD9A-4635-A6FF-0F85B8BF78C1}"/>
  <bookViews>
    <workbookView xWindow="-108" yWindow="-108" windowWidth="23256" windowHeight="12456" tabRatio="797" activeTab="2" xr2:uid="{3D2F352B-9E05-401C-B527-666CFC22F994}"/>
  </bookViews>
  <sheets>
    <sheet name="Overall" sheetId="1" r:id="rId1"/>
    <sheet name="Overall - Testing" sheetId="2" state="hidden" r:id="rId2"/>
    <sheet name="Overall_Draft" sheetId="8" r:id="rId3"/>
    <sheet name="Reporting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8" l="1"/>
  <c r="AG39" i="8"/>
  <c r="AF39" i="8"/>
  <c r="AC39" i="8"/>
  <c r="AB39" i="8"/>
  <c r="Y39" i="8"/>
  <c r="X39" i="8"/>
  <c r="U39" i="8"/>
  <c r="T39" i="8"/>
  <c r="P23" i="8" s="1"/>
  <c r="Q39" i="8"/>
  <c r="M23" i="8" s="1"/>
  <c r="P39" i="8"/>
  <c r="M39" i="8"/>
  <c r="X7" i="8"/>
  <c r="V7" i="8"/>
  <c r="T7" i="8"/>
  <c r="P7" i="8"/>
  <c r="M7" i="8"/>
  <c r="AJ39" i="1"/>
  <c r="AG39" i="1"/>
  <c r="AF39" i="1"/>
  <c r="AC39" i="1"/>
  <c r="AB39" i="1"/>
  <c r="Y39" i="1"/>
  <c r="X39" i="1"/>
  <c r="U39" i="1"/>
  <c r="T39" i="1"/>
  <c r="Q39" i="1"/>
  <c r="P39" i="1"/>
  <c r="M39" i="1"/>
  <c r="P23" i="1"/>
  <c r="M23" i="1"/>
  <c r="X7" i="1"/>
  <c r="V7" i="1"/>
  <c r="T7" i="1"/>
  <c r="P7" i="1"/>
  <c r="M7" i="1"/>
  <c r="AJ41" i="8"/>
  <c r="AG41" i="8"/>
  <c r="AF41" i="8"/>
  <c r="AC41" i="8"/>
  <c r="AB41" i="8"/>
  <c r="Y41" i="8"/>
  <c r="X41" i="8"/>
  <c r="U41" i="8"/>
  <c r="T41" i="8"/>
  <c r="P25" i="8" s="1"/>
  <c r="Q41" i="8"/>
  <c r="M25" i="8" s="1"/>
  <c r="P41" i="8"/>
  <c r="M41" i="8"/>
  <c r="X9" i="8"/>
  <c r="V9" i="8"/>
  <c r="AJ37" i="8"/>
  <c r="AG37" i="8"/>
  <c r="AF37" i="8"/>
  <c r="AC37" i="8"/>
  <c r="AB37" i="8"/>
  <c r="Y37" i="8"/>
  <c r="X37" i="8"/>
  <c r="U37" i="8"/>
  <c r="T37" i="8"/>
  <c r="P21" i="8" s="1"/>
  <c r="Q37" i="8"/>
  <c r="M21" i="8" s="1"/>
  <c r="P37" i="8"/>
  <c r="M37" i="8"/>
  <c r="X5" i="8"/>
  <c r="V5" i="8"/>
  <c r="AJ37" i="1"/>
  <c r="AG37" i="1"/>
  <c r="AF37" i="1"/>
  <c r="AC37" i="1"/>
  <c r="AB37" i="1"/>
  <c r="Y37" i="1"/>
  <c r="X37" i="1"/>
  <c r="U37" i="1"/>
  <c r="T37" i="1"/>
  <c r="Q37" i="1"/>
  <c r="P37" i="1"/>
  <c r="M37" i="1"/>
  <c r="P21" i="1"/>
  <c r="M21" i="1"/>
  <c r="Y5" i="1"/>
  <c r="X5" i="1"/>
  <c r="V5" i="1"/>
  <c r="V56" i="8"/>
  <c r="AJ36" i="8"/>
  <c r="AH36" i="8"/>
  <c r="AG36" i="8"/>
  <c r="AF36" i="8"/>
  <c r="AC36" i="8"/>
  <c r="AB36" i="8"/>
  <c r="Y36" i="8"/>
  <c r="X36" i="8"/>
  <c r="U36" i="8"/>
  <c r="T36" i="8"/>
  <c r="P20" i="8" s="1"/>
  <c r="Q36" i="8"/>
  <c r="M20" i="8" s="1"/>
  <c r="P36" i="8"/>
  <c r="M36" i="8"/>
  <c r="X4" i="8"/>
  <c r="V4" i="8"/>
  <c r="O4" i="8"/>
  <c r="W56" i="1"/>
  <c r="AJ36" i="1"/>
  <c r="AH36" i="1"/>
  <c r="AG36" i="1"/>
  <c r="AF36" i="1"/>
  <c r="AC36" i="1"/>
  <c r="AB36" i="1"/>
  <c r="Y36" i="1"/>
  <c r="X36" i="1"/>
  <c r="U36" i="1"/>
  <c r="T36" i="1"/>
  <c r="Q36" i="1"/>
  <c r="P36" i="1"/>
  <c r="M36" i="1"/>
  <c r="P20" i="1"/>
  <c r="M20" i="1"/>
  <c r="X4" i="1"/>
  <c r="V4" i="1"/>
  <c r="O4" i="1"/>
  <c r="AB57" i="8"/>
  <c r="AB56" i="8"/>
  <c r="AB55" i="8"/>
  <c r="AB54" i="8"/>
  <c r="AB53" i="8"/>
  <c r="AJ42" i="8"/>
  <c r="AH42" i="8"/>
  <c r="AG42" i="8"/>
  <c r="AF42" i="8"/>
  <c r="AD42" i="8"/>
  <c r="AC42" i="8"/>
  <c r="AB42" i="8"/>
  <c r="Z42" i="8"/>
  <c r="Y42" i="8"/>
  <c r="X42" i="8"/>
  <c r="V42" i="8"/>
  <c r="U42" i="8"/>
  <c r="T42" i="8"/>
  <c r="P26" i="8" s="1"/>
  <c r="R42" i="8"/>
  <c r="N26" i="8" s="1"/>
  <c r="Q42" i="8"/>
  <c r="M26" i="8" s="1"/>
  <c r="P42" i="8"/>
  <c r="N42" i="8"/>
  <c r="M42" i="8"/>
  <c r="O26" i="8"/>
  <c r="X10" i="8"/>
  <c r="V10" i="8"/>
  <c r="T10" i="8"/>
  <c r="S10" i="8"/>
  <c r="R10" i="8"/>
  <c r="Q10" i="8"/>
  <c r="P10" i="8"/>
  <c r="O10" i="8"/>
  <c r="M10" i="8"/>
  <c r="AC57" i="1"/>
  <c r="AC56" i="1"/>
  <c r="AC55" i="1"/>
  <c r="AC54" i="1"/>
  <c r="AC53" i="1"/>
  <c r="AJ42" i="1"/>
  <c r="AH42" i="1"/>
  <c r="AG42" i="1"/>
  <c r="AF42" i="1"/>
  <c r="AD42" i="1"/>
  <c r="AC42" i="1"/>
  <c r="AB42" i="1"/>
  <c r="Z42" i="1"/>
  <c r="Y42" i="1"/>
  <c r="X42" i="1"/>
  <c r="V42" i="1"/>
  <c r="U42" i="1"/>
  <c r="T42" i="1"/>
  <c r="R42" i="1"/>
  <c r="Q42" i="1"/>
  <c r="P42" i="1"/>
  <c r="N42" i="1"/>
  <c r="M42" i="1"/>
  <c r="P26" i="1"/>
  <c r="O26" i="1"/>
  <c r="N26" i="1"/>
  <c r="M26" i="1"/>
  <c r="X10" i="1"/>
  <c r="V10" i="1"/>
  <c r="T10" i="1"/>
  <c r="S10" i="1"/>
  <c r="R10" i="1"/>
  <c r="Q10" i="1"/>
  <c r="P10" i="1"/>
  <c r="O10" i="1"/>
  <c r="M10" i="1"/>
  <c r="AJ38" i="8"/>
  <c r="AG38" i="8"/>
  <c r="AF38" i="8"/>
  <c r="AC38" i="8"/>
  <c r="AB38" i="8"/>
  <c r="Y38" i="8"/>
  <c r="X38" i="8"/>
  <c r="U38" i="8"/>
  <c r="T38" i="8"/>
  <c r="P22" i="8" s="1"/>
  <c r="Q38" i="8"/>
  <c r="M22" i="8" s="1"/>
  <c r="P38" i="8"/>
  <c r="M38" i="8"/>
  <c r="X6" i="8"/>
  <c r="V6" i="8"/>
  <c r="AJ38" i="1"/>
  <c r="AG38" i="1"/>
  <c r="AF38" i="1"/>
  <c r="AC38" i="1"/>
  <c r="AB38" i="1"/>
  <c r="Y38" i="1"/>
  <c r="X38" i="1"/>
  <c r="U38" i="1"/>
  <c r="T38" i="1"/>
  <c r="Q38" i="1"/>
  <c r="P38" i="1"/>
  <c r="M38" i="1"/>
  <c r="P22" i="1"/>
  <c r="M22" i="1"/>
  <c r="X6" i="1"/>
  <c r="V6" i="1"/>
  <c r="AJ40" i="8"/>
  <c r="AG40" i="8"/>
  <c r="AF40" i="8"/>
  <c r="AC40" i="8"/>
  <c r="AB40" i="8"/>
  <c r="Y40" i="8"/>
  <c r="X40" i="8"/>
  <c r="U40" i="8"/>
  <c r="T40" i="8"/>
  <c r="Q40" i="8"/>
  <c r="P40" i="8"/>
  <c r="M40" i="8"/>
  <c r="X8" i="8"/>
  <c r="V8" i="8"/>
  <c r="AJ40" i="1"/>
  <c r="AG40" i="1"/>
  <c r="AF40" i="1"/>
  <c r="AC40" i="1"/>
  <c r="AB40" i="1"/>
  <c r="Y40" i="1"/>
  <c r="X40" i="1"/>
  <c r="U40" i="1"/>
  <c r="T40" i="1"/>
  <c r="Q40" i="1"/>
  <c r="P40" i="1"/>
  <c r="M40" i="1"/>
  <c r="X8" i="1"/>
  <c r="V8" i="1"/>
  <c r="U2" i="3"/>
  <c r="U3" i="3"/>
  <c r="U4" i="3"/>
  <c r="U5" i="3"/>
  <c r="U6" i="3"/>
  <c r="U7" i="3"/>
  <c r="U8" i="3"/>
  <c r="U9" i="3"/>
  <c r="H1" i="3"/>
  <c r="I1" i="3"/>
  <c r="J1" i="3"/>
  <c r="K1" i="3"/>
  <c r="L1" i="3"/>
  <c r="M1" i="3"/>
  <c r="N1" i="3"/>
  <c r="O1" i="3"/>
  <c r="P1" i="3"/>
  <c r="Q1" i="3"/>
  <c r="R1" i="3"/>
  <c r="S1" i="3"/>
  <c r="H2" i="3"/>
  <c r="S2" i="3"/>
  <c r="H3" i="3"/>
  <c r="S3" i="3"/>
  <c r="H4" i="3"/>
  <c r="S4" i="3"/>
  <c r="H5" i="3"/>
  <c r="S5" i="3"/>
  <c r="H6" i="3"/>
  <c r="S6" i="3"/>
  <c r="H7" i="3"/>
  <c r="S7" i="3"/>
  <c r="H8" i="3"/>
  <c r="S8" i="3"/>
  <c r="H9" i="3"/>
  <c r="S9" i="3"/>
  <c r="B9" i="3"/>
  <c r="B2" i="3"/>
  <c r="B3" i="3"/>
  <c r="B4" i="3"/>
  <c r="B5" i="3"/>
  <c r="B6" i="3"/>
  <c r="B7" i="3"/>
  <c r="B8" i="3"/>
  <c r="Y34" i="8" l="1"/>
  <c r="AS6" i="3" l="1"/>
  <c r="AP6" i="3"/>
  <c r="AO6" i="3"/>
  <c r="AL6" i="3"/>
  <c r="AK6" i="3"/>
  <c r="AH6" i="3"/>
  <c r="AG6" i="3"/>
  <c r="AD6" i="3"/>
  <c r="Y6" i="3"/>
  <c r="V6" i="3"/>
  <c r="R6" i="3"/>
  <c r="AC6" i="3" l="1"/>
  <c r="Z6" i="3"/>
  <c r="AS8" i="3" l="1"/>
  <c r="AP8" i="3"/>
  <c r="AO8" i="3"/>
  <c r="AL8" i="3"/>
  <c r="AK8" i="3"/>
  <c r="AH8" i="3"/>
  <c r="AG8" i="3"/>
  <c r="AD8" i="3"/>
  <c r="Y8" i="3"/>
  <c r="V8" i="3"/>
  <c r="R8" i="3"/>
  <c r="C8" i="3" l="1"/>
  <c r="Z8" i="3"/>
  <c r="F8" i="3"/>
  <c r="AC8" i="3"/>
  <c r="AS4" i="3"/>
  <c r="AP4" i="3"/>
  <c r="AO4" i="3"/>
  <c r="AL4" i="3"/>
  <c r="AK4" i="3"/>
  <c r="AH4" i="3"/>
  <c r="AG4" i="3"/>
  <c r="AD4" i="3"/>
  <c r="Y4" i="3"/>
  <c r="V4" i="3"/>
  <c r="R4" i="3"/>
  <c r="F4" i="3" l="1"/>
  <c r="AC4" i="3"/>
  <c r="C4" i="3"/>
  <c r="Z4" i="3"/>
  <c r="F2" i="3" l="1"/>
  <c r="AC2" i="3"/>
  <c r="AS7" i="3"/>
  <c r="AP7" i="3"/>
  <c r="AO7" i="3"/>
  <c r="AL7" i="3"/>
  <c r="AK7" i="3"/>
  <c r="AH7" i="3"/>
  <c r="AG7" i="3"/>
  <c r="AD7" i="3"/>
  <c r="Y7" i="3"/>
  <c r="V7" i="3"/>
  <c r="R7" i="3"/>
  <c r="AC7" i="3" l="1"/>
  <c r="C7" i="3"/>
  <c r="Z7" i="3"/>
  <c r="F7" i="3" l="1"/>
  <c r="AS5" i="3" l="1"/>
  <c r="AP5" i="3"/>
  <c r="AO5" i="3"/>
  <c r="AL5" i="3"/>
  <c r="AK5" i="3"/>
  <c r="AH5" i="3"/>
  <c r="AG5" i="3"/>
  <c r="AD5" i="3"/>
  <c r="Y5" i="3"/>
  <c r="V5" i="3"/>
  <c r="R5" i="3"/>
  <c r="AS3" i="3"/>
  <c r="AP3" i="3"/>
  <c r="AO3" i="3"/>
  <c r="AL3" i="3"/>
  <c r="AK3" i="3"/>
  <c r="AH3" i="3"/>
  <c r="AG3" i="3"/>
  <c r="AD3" i="3"/>
  <c r="Y3" i="3"/>
  <c r="V3" i="3"/>
  <c r="R3" i="3"/>
  <c r="AS2" i="3"/>
  <c r="AP2" i="3"/>
  <c r="AO2" i="3"/>
  <c r="AL2" i="3"/>
  <c r="AK2" i="3"/>
  <c r="AH2" i="3"/>
  <c r="AG2" i="3"/>
  <c r="AD2" i="3"/>
  <c r="Y2" i="3"/>
  <c r="V2" i="3"/>
  <c r="R2" i="3"/>
  <c r="AJ41" i="1"/>
  <c r="AH41" i="1"/>
  <c r="AG41" i="1"/>
  <c r="AF41" i="1"/>
  <c r="AD41" i="1"/>
  <c r="AC41" i="1"/>
  <c r="AB41" i="1"/>
  <c r="Z41" i="1"/>
  <c r="Y41" i="1"/>
  <c r="X41" i="1"/>
  <c r="V41" i="1"/>
  <c r="U41" i="1"/>
  <c r="T41" i="1"/>
  <c r="R41" i="1"/>
  <c r="Q41" i="1"/>
  <c r="P41" i="1"/>
  <c r="N41" i="1"/>
  <c r="M41" i="1"/>
  <c r="P25" i="1"/>
  <c r="N25" i="1"/>
  <c r="M25" i="1"/>
  <c r="X9" i="1"/>
  <c r="V9" i="1"/>
  <c r="U9" i="1"/>
  <c r="T9" i="1"/>
  <c r="S9" i="1"/>
  <c r="R9" i="1"/>
  <c r="Q9" i="1"/>
  <c r="P9" i="1"/>
  <c r="O9" i="1"/>
  <c r="N9" i="1"/>
  <c r="M9" i="1"/>
  <c r="U56" i="8"/>
  <c r="U57" i="8"/>
  <c r="AB58" i="1"/>
  <c r="V56" i="1"/>
  <c r="V57" i="1"/>
  <c r="C2" i="3" l="1"/>
  <c r="Z2" i="3"/>
  <c r="F3" i="3"/>
  <c r="AC3" i="3"/>
  <c r="C3" i="3"/>
  <c r="Z3" i="3"/>
  <c r="C5" i="3"/>
  <c r="Z5" i="3"/>
  <c r="F5" i="3"/>
  <c r="AC5" i="3"/>
  <c r="X11" i="8"/>
  <c r="S23" i="8"/>
  <c r="S24" i="8"/>
  <c r="S24" i="1"/>
  <c r="S23" i="1"/>
  <c r="O60" i="8" l="1"/>
  <c r="P60" i="8"/>
  <c r="Q60" i="8"/>
  <c r="S60" i="8"/>
  <c r="U34" i="8"/>
  <c r="I1" i="8"/>
  <c r="W11" i="8"/>
  <c r="V11" i="8" l="1"/>
  <c r="R9" i="3" s="1"/>
  <c r="Q43" i="8"/>
  <c r="X43" i="8"/>
  <c r="T43" i="8"/>
  <c r="U43" i="8"/>
  <c r="AC43" i="8"/>
  <c r="M43" i="8"/>
  <c r="AK37" i="8"/>
  <c r="AG43" i="8"/>
  <c r="AB43" i="8"/>
  <c r="P43" i="8"/>
  <c r="Y43" i="8"/>
  <c r="AJ43" i="8"/>
  <c r="AF43" i="8"/>
  <c r="W25" i="8" l="1"/>
  <c r="AS9" i="3"/>
  <c r="W21" i="8"/>
  <c r="AC9" i="3"/>
  <c r="W20" i="8"/>
  <c r="Y9" i="3"/>
  <c r="W23" i="8"/>
  <c r="AK9" i="3"/>
  <c r="T25" i="8"/>
  <c r="AP9" i="3"/>
  <c r="T20" i="8"/>
  <c r="V9" i="3"/>
  <c r="T22" i="8"/>
  <c r="AD9" i="3"/>
  <c r="W24" i="8"/>
  <c r="AO9" i="3"/>
  <c r="W22" i="8"/>
  <c r="AG9" i="3"/>
  <c r="T21" i="8"/>
  <c r="Z9" i="3"/>
  <c r="T23" i="8"/>
  <c r="AH9" i="3"/>
  <c r="T24" i="8"/>
  <c r="AL9" i="3"/>
  <c r="X20" i="8" l="1"/>
  <c r="X23" i="8"/>
  <c r="X22" i="8"/>
  <c r="X25" i="8"/>
  <c r="X24" i="8"/>
  <c r="X21" i="8"/>
  <c r="X11" i="1"/>
  <c r="AK37" i="1" l="1"/>
  <c r="M43" i="1" l="1"/>
  <c r="T20" i="1" s="1"/>
  <c r="AV2" i="3" l="1"/>
  <c r="AV3" i="3"/>
  <c r="AV4" i="3"/>
  <c r="AV7" i="3"/>
  <c r="AV1" i="3"/>
  <c r="BA1" i="3"/>
  <c r="AW1" i="3"/>
  <c r="AX1" i="3"/>
  <c r="AY1" i="3"/>
  <c r="AZ1" i="3"/>
  <c r="AV5" i="3" l="1"/>
  <c r="AV6" i="3"/>
  <c r="AJ43" i="1" l="1"/>
  <c r="AG43" i="1"/>
  <c r="AF43" i="1"/>
  <c r="AB43" i="1"/>
  <c r="X43" i="1"/>
  <c r="U43" i="1"/>
  <c r="T43" i="1"/>
  <c r="Q43" i="1"/>
  <c r="P43" i="1"/>
  <c r="I1" i="1" l="1"/>
  <c r="U34" i="1" l="1"/>
  <c r="Y34" i="1" l="1"/>
  <c r="W24" i="1" l="1"/>
  <c r="AZ6" i="3" s="1"/>
  <c r="W20" i="1"/>
  <c r="AZ2" i="3" s="1"/>
  <c r="W11" i="1"/>
  <c r="W25" i="1" l="1"/>
  <c r="AZ7" i="3" s="1"/>
  <c r="W23" i="1"/>
  <c r="AZ5" i="3" s="1"/>
  <c r="W22" i="1"/>
  <c r="AZ4" i="3" s="1"/>
  <c r="T22" i="1"/>
  <c r="AW4" i="3" s="1"/>
  <c r="W21" i="1"/>
  <c r="AZ3" i="3" s="1"/>
  <c r="X22" i="1" l="1"/>
  <c r="BA4" i="3" s="1"/>
  <c r="T25" i="1"/>
  <c r="X25" i="1" l="1"/>
  <c r="BA7" i="3" s="1"/>
  <c r="AW7" i="3"/>
  <c r="J1" i="2"/>
  <c r="AJ17" i="2" l="1"/>
  <c r="AJ18" i="2"/>
  <c r="AJ14" i="2"/>
  <c r="AJ15" i="2"/>
  <c r="AJ19" i="2"/>
  <c r="AJ20" i="2"/>
  <c r="AI21" i="2"/>
  <c r="AJ16" i="2"/>
  <c r="AA9" i="2"/>
  <c r="AF21" i="2"/>
  <c r="AG21" i="2"/>
  <c r="AH21" i="2"/>
  <c r="AE21" i="2"/>
  <c r="AJ21" i="2" l="1"/>
  <c r="T15" i="2" l="1"/>
  <c r="T14" i="2" l="1"/>
  <c r="Y19" i="2" l="1"/>
  <c r="X19" i="2"/>
  <c r="T17" i="2" l="1"/>
  <c r="Q60" i="1"/>
  <c r="AA19" i="2"/>
  <c r="T18" i="2" l="1"/>
  <c r="R60" i="1" l="1"/>
  <c r="S60" i="1"/>
  <c r="AB19" i="2"/>
  <c r="R19" i="2" l="1"/>
  <c r="B3" i="2" s="1"/>
  <c r="W14" i="2" l="1"/>
  <c r="T9" i="2" l="1"/>
  <c r="D3" i="2" s="1"/>
  <c r="R9" i="2"/>
  <c r="V9" i="2"/>
  <c r="U9" i="2" l="1"/>
  <c r="H6" i="2" s="1"/>
  <c r="W9" i="2" l="1"/>
  <c r="Y9" i="2"/>
  <c r="X9" i="2" l="1"/>
  <c r="B6" i="2" s="1"/>
  <c r="W17" i="2"/>
  <c r="W16" i="2"/>
  <c r="P60" i="1" l="1"/>
  <c r="W15" i="2"/>
  <c r="Z19" i="2"/>
  <c r="W18" i="2"/>
  <c r="W19" i="2" l="1"/>
  <c r="T16" i="2"/>
  <c r="S19" i="2"/>
  <c r="T19" i="2" s="1"/>
  <c r="F6" i="2" l="1"/>
  <c r="D6" i="2"/>
  <c r="S9" i="2" l="1"/>
  <c r="F3" i="2" s="1"/>
  <c r="Z9" i="2" l="1"/>
  <c r="H3" i="2" s="1"/>
  <c r="O60" i="1" l="1"/>
  <c r="V11" i="1" l="1"/>
  <c r="T21" i="1" l="1"/>
  <c r="X21" i="1" l="1"/>
  <c r="BA3" i="3" s="1"/>
  <c r="AW3" i="3"/>
  <c r="X20" i="1" l="1"/>
  <c r="BA2" i="3" s="1"/>
  <c r="AW2" i="3"/>
  <c r="AC43" i="1"/>
  <c r="T24" i="1" s="1"/>
  <c r="X24" i="1" l="1"/>
  <c r="BA6" i="3" s="1"/>
  <c r="AW6" i="3"/>
  <c r="Y43" i="1" l="1"/>
  <c r="T23" i="1" s="1"/>
  <c r="X23" i="1" l="1"/>
  <c r="BA5" i="3" s="1"/>
  <c r="AW5" i="3"/>
  <c r="AI41" i="1" l="1"/>
  <c r="AA41" i="1" l="1"/>
  <c r="S41" i="1"/>
  <c r="O41" i="1"/>
  <c r="W41" i="1"/>
  <c r="AE41" i="1"/>
  <c r="Q25" i="1" l="1"/>
  <c r="O25" i="1"/>
  <c r="AQ2" i="3" l="1"/>
  <c r="AI36" i="1" l="1"/>
  <c r="AI36" i="8"/>
  <c r="AR2" i="3" s="1"/>
  <c r="K2" i="3" l="1"/>
  <c r="AI42" i="1" l="1"/>
  <c r="AI42" i="8" l="1"/>
  <c r="AR8" i="3" s="1"/>
  <c r="AQ8" i="3"/>
  <c r="L8" i="3"/>
  <c r="I8" i="3"/>
  <c r="M8" i="3"/>
  <c r="K8" i="3"/>
  <c r="P8" i="3" l="1"/>
  <c r="N8" i="3"/>
  <c r="AE42" i="1" l="1"/>
  <c r="O8" i="3"/>
  <c r="AA42" i="1"/>
  <c r="O42" i="1"/>
  <c r="W42" i="1"/>
  <c r="S42" i="1"/>
  <c r="S42" i="8" l="1"/>
  <c r="AB8" i="3" s="1"/>
  <c r="AA8" i="3"/>
  <c r="O42" i="8"/>
  <c r="X8" i="3" s="1"/>
  <c r="W8" i="3"/>
  <c r="AA42" i="8"/>
  <c r="AJ8" i="3" s="1"/>
  <c r="AI8" i="3"/>
  <c r="W42" i="8"/>
  <c r="AF8" i="3" s="1"/>
  <c r="AE8" i="3"/>
  <c r="AE42" i="8"/>
  <c r="AN8" i="3" s="1"/>
  <c r="AM8" i="3"/>
  <c r="AB58" i="8"/>
  <c r="AC58" i="1"/>
  <c r="Q26" i="1"/>
  <c r="Q26" i="8" l="1"/>
  <c r="G8" i="3" s="1"/>
  <c r="D8" i="3"/>
  <c r="E8" i="3" s="1"/>
  <c r="L5" i="3" l="1"/>
  <c r="I5" i="3"/>
  <c r="P5" i="3" l="1"/>
  <c r="M24" i="1" l="1"/>
  <c r="M24" i="8"/>
  <c r="C6" i="3" l="1"/>
  <c r="M27" i="8"/>
  <c r="M27" i="1"/>
  <c r="Q45" i="1" l="1"/>
  <c r="Q45" i="8"/>
  <c r="C9" i="3"/>
  <c r="P24" i="8" l="1"/>
  <c r="P24" i="1"/>
  <c r="Q24" i="1" l="1"/>
  <c r="P27" i="1"/>
  <c r="E6" i="1" s="1"/>
  <c r="F6" i="3"/>
  <c r="P27" i="8"/>
  <c r="B6" i="8" l="1"/>
  <c r="F9" i="3"/>
  <c r="P6" i="1" l="1"/>
  <c r="P6" i="8"/>
  <c r="L4" i="3" s="1"/>
  <c r="M6" i="1"/>
  <c r="M6" i="8"/>
  <c r="I4" i="3" s="1"/>
  <c r="T6" i="8" l="1"/>
  <c r="P4" i="3" s="1"/>
  <c r="T6" i="1"/>
  <c r="Q4" i="1" l="1"/>
  <c r="Q4" i="8"/>
  <c r="M2" i="3" s="1"/>
  <c r="P4" i="1"/>
  <c r="P4" i="8"/>
  <c r="L2" i="3" s="1"/>
  <c r="M4" i="8"/>
  <c r="I2" i="3" s="1"/>
  <c r="M4" i="1"/>
  <c r="T4" i="1" l="1"/>
  <c r="T4" i="8"/>
  <c r="P2" i="3" s="1"/>
  <c r="V36" i="1" l="1"/>
  <c r="V36" i="8"/>
  <c r="U4" i="8"/>
  <c r="U4" i="1"/>
  <c r="N54" i="1" l="1"/>
  <c r="N54" i="8"/>
  <c r="N56" i="1"/>
  <c r="M56" i="1" s="1"/>
  <c r="N56" i="8"/>
  <c r="AE2" i="3"/>
  <c r="W36" i="8"/>
  <c r="AF2" i="3" s="1"/>
  <c r="W36" i="1"/>
  <c r="Q2" i="3"/>
  <c r="N58" i="1" l="1"/>
  <c r="M58" i="1" s="1"/>
  <c r="N58" i="8"/>
  <c r="N59" i="8"/>
  <c r="N59" i="1"/>
  <c r="M59" i="1" s="1"/>
  <c r="M54" i="1"/>
  <c r="N4" i="8" l="1"/>
  <c r="N4" i="1"/>
  <c r="J2" i="3" l="1"/>
  <c r="R36" i="8" l="1"/>
  <c r="R36" i="1"/>
  <c r="N57" i="1"/>
  <c r="M57" i="1" s="1"/>
  <c r="N57" i="8"/>
  <c r="AD36" i="8"/>
  <c r="AD36" i="1"/>
  <c r="N36" i="8"/>
  <c r="N36" i="1"/>
  <c r="Z36" i="8"/>
  <c r="Z36" i="1"/>
  <c r="N20" i="1"/>
  <c r="N55" i="8" l="1"/>
  <c r="N60" i="8" s="1"/>
  <c r="N55" i="1"/>
  <c r="AE36" i="1"/>
  <c r="R4" i="1"/>
  <c r="R4" i="8"/>
  <c r="N2" i="3" s="1"/>
  <c r="AA36" i="1"/>
  <c r="Q20" i="1"/>
  <c r="O20" i="1"/>
  <c r="W2" i="3"/>
  <c r="O36" i="8"/>
  <c r="X2" i="3" s="1"/>
  <c r="AI2" i="3"/>
  <c r="AA36" i="8"/>
  <c r="AJ2" i="3" s="1"/>
  <c r="O36" i="1"/>
  <c r="V57" i="8"/>
  <c r="W57" i="1"/>
  <c r="AM2" i="3"/>
  <c r="AE36" i="8"/>
  <c r="AN2" i="3" s="1"/>
  <c r="S36" i="1"/>
  <c r="N20" i="8"/>
  <c r="AA2" i="3"/>
  <c r="S36" i="8"/>
  <c r="AB2" i="3" s="1"/>
  <c r="V55" i="8" l="1"/>
  <c r="W55" i="1"/>
  <c r="Q20" i="8"/>
  <c r="G2" i="3" s="1"/>
  <c r="D2" i="3"/>
  <c r="E2" i="3" s="1"/>
  <c r="O20" i="8"/>
  <c r="S4" i="1"/>
  <c r="S4" i="8"/>
  <c r="O2" i="3" s="1"/>
  <c r="V54" i="8"/>
  <c r="W54" i="1"/>
  <c r="W53" i="1"/>
  <c r="V53" i="8"/>
  <c r="M55" i="1"/>
  <c r="M60" i="1" s="1"/>
  <c r="N60" i="1"/>
  <c r="V58" i="8" l="1"/>
  <c r="W58" i="1"/>
  <c r="AH40" i="1" l="1"/>
  <c r="AH40" i="8"/>
  <c r="AQ6" i="3" l="1"/>
  <c r="AI40" i="8"/>
  <c r="AR6" i="3" s="1"/>
  <c r="AI40" i="1"/>
  <c r="M8" i="1" l="1"/>
  <c r="M8" i="8"/>
  <c r="I6" i="3" s="1"/>
  <c r="P8" i="8"/>
  <c r="L6" i="3" s="1"/>
  <c r="P8" i="1"/>
  <c r="O8" i="1"/>
  <c r="O8" i="8"/>
  <c r="Q8" i="1"/>
  <c r="Q8" i="8"/>
  <c r="M6" i="3" s="1"/>
  <c r="K6" i="3" l="1"/>
  <c r="T8" i="1" l="1"/>
  <c r="T8" i="8"/>
  <c r="P6" i="3" s="1"/>
  <c r="R8" i="8"/>
  <c r="N6" i="3" s="1"/>
  <c r="R8" i="1"/>
  <c r="Z40" i="8" l="1"/>
  <c r="Z40" i="1"/>
  <c r="S8" i="1"/>
  <c r="S8" i="8"/>
  <c r="O6" i="3" s="1"/>
  <c r="R40" i="8"/>
  <c r="R40" i="1"/>
  <c r="Z54" i="8"/>
  <c r="AA54" i="1"/>
  <c r="V40" i="8"/>
  <c r="V40" i="1"/>
  <c r="AA55" i="1"/>
  <c r="Z55" i="8"/>
  <c r="Z56" i="8"/>
  <c r="AA56" i="1"/>
  <c r="AD40" i="8"/>
  <c r="AD40" i="1"/>
  <c r="AA53" i="1"/>
  <c r="Z53" i="8"/>
  <c r="N40" i="1"/>
  <c r="N40" i="8"/>
  <c r="Z57" i="8"/>
  <c r="AA57" i="1"/>
  <c r="N24" i="1" l="1"/>
  <c r="N24" i="8"/>
  <c r="AI6" i="3"/>
  <c r="AA40" i="8"/>
  <c r="AJ6" i="3" s="1"/>
  <c r="O40" i="1"/>
  <c r="AE40" i="8"/>
  <c r="AN6" i="3" s="1"/>
  <c r="AM6" i="3"/>
  <c r="W40" i="1"/>
  <c r="S40" i="1"/>
  <c r="AE6" i="3"/>
  <c r="W40" i="8"/>
  <c r="AF6" i="3" s="1"/>
  <c r="W6" i="3"/>
  <c r="O40" i="8"/>
  <c r="X6" i="3" s="1"/>
  <c r="Z58" i="8"/>
  <c r="AA58" i="1"/>
  <c r="AA6" i="3"/>
  <c r="S40" i="8"/>
  <c r="AB6" i="3" s="1"/>
  <c r="AE40" i="1"/>
  <c r="AA40" i="1"/>
  <c r="O24" i="8" l="1"/>
  <c r="Q24" i="8"/>
  <c r="G6" i="3" s="1"/>
  <c r="D6" i="3"/>
  <c r="E6" i="3" s="1"/>
  <c r="O24" i="1"/>
  <c r="N9" i="8" l="1"/>
  <c r="AH41" i="8"/>
  <c r="AQ7" i="3" l="1"/>
  <c r="AI41" i="8"/>
  <c r="AR7" i="3" s="1"/>
  <c r="J7" i="3"/>
  <c r="R59" i="8" l="1"/>
  <c r="M59" i="8" s="1"/>
  <c r="P9" i="8"/>
  <c r="R54" i="8"/>
  <c r="R56" i="8"/>
  <c r="M56" i="8" s="1"/>
  <c r="O9" i="8"/>
  <c r="Q9" i="8"/>
  <c r="M9" i="8"/>
  <c r="K7" i="3" l="1"/>
  <c r="L7" i="3"/>
  <c r="I7" i="3"/>
  <c r="M7" i="3"/>
  <c r="M54" i="8"/>
  <c r="R58" i="8"/>
  <c r="M58" i="8" s="1"/>
  <c r="R55" i="8" l="1"/>
  <c r="R9" i="8"/>
  <c r="T9" i="8"/>
  <c r="P7" i="3" l="1"/>
  <c r="N7" i="3"/>
  <c r="M55" i="8"/>
  <c r="AA57" i="8"/>
  <c r="AA56" i="8"/>
  <c r="AA55" i="8"/>
  <c r="AA54" i="8"/>
  <c r="AA53" i="8"/>
  <c r="S9" i="8"/>
  <c r="AD41" i="8"/>
  <c r="Z41" i="8"/>
  <c r="V41" i="8"/>
  <c r="R41" i="8"/>
  <c r="N41" i="8"/>
  <c r="O7" i="3" l="1"/>
  <c r="AA58" i="8"/>
  <c r="S41" i="8"/>
  <c r="AB7" i="3" s="1"/>
  <c r="AA7" i="3"/>
  <c r="W7" i="3"/>
  <c r="O41" i="8"/>
  <c r="X7" i="3" s="1"/>
  <c r="W41" i="8"/>
  <c r="AF7" i="3" s="1"/>
  <c r="AE7" i="3"/>
  <c r="AE41" i="8"/>
  <c r="AN7" i="3" s="1"/>
  <c r="AM7" i="3"/>
  <c r="AI7" i="3"/>
  <c r="AA41" i="8"/>
  <c r="AJ7" i="3" s="1"/>
  <c r="N25" i="8"/>
  <c r="R57" i="8"/>
  <c r="U9" i="8"/>
  <c r="D7" i="3" l="1"/>
  <c r="E7" i="3" s="1"/>
  <c r="Q25" i="8"/>
  <c r="G7" i="3" s="1"/>
  <c r="O25" i="8"/>
  <c r="M57" i="8"/>
  <c r="M60" i="8" s="1"/>
  <c r="R60" i="8"/>
  <c r="Q7" i="3"/>
  <c r="AH39" i="8" l="1"/>
  <c r="AH39" i="1"/>
  <c r="AI39" i="8" l="1"/>
  <c r="AR5" i="3" s="1"/>
  <c r="AQ5" i="3"/>
  <c r="AI39" i="1"/>
  <c r="O7" i="1" l="1"/>
  <c r="O7" i="8"/>
  <c r="Q7" i="1"/>
  <c r="Q7" i="8"/>
  <c r="M5" i="3" s="1"/>
  <c r="K5" i="3" l="1"/>
  <c r="R7" i="8" l="1"/>
  <c r="N5" i="3" s="1"/>
  <c r="R7" i="1"/>
  <c r="S7" i="1"/>
  <c r="S7" i="8"/>
  <c r="O5" i="3" s="1"/>
  <c r="R39" i="8"/>
  <c r="R39" i="1"/>
  <c r="S39" i="1" s="1"/>
  <c r="Y54" i="8" l="1"/>
  <c r="Z54" i="1"/>
  <c r="N39" i="1"/>
  <c r="O39" i="1" s="1"/>
  <c r="N39" i="8"/>
  <c r="S39" i="8"/>
  <c r="AB5" i="3" s="1"/>
  <c r="AA5" i="3"/>
  <c r="Z56" i="1"/>
  <c r="Y56" i="8"/>
  <c r="AD39" i="1"/>
  <c r="AE39" i="1" s="1"/>
  <c r="AD39" i="8"/>
  <c r="Z39" i="1"/>
  <c r="AA39" i="1" s="1"/>
  <c r="Z39" i="8"/>
  <c r="Y53" i="8"/>
  <c r="Z53" i="1"/>
  <c r="Y57" i="8"/>
  <c r="Z57" i="1"/>
  <c r="Z55" i="1"/>
  <c r="Y55" i="8"/>
  <c r="V39" i="8"/>
  <c r="V39" i="1"/>
  <c r="W39" i="1" s="1"/>
  <c r="Z58" i="1" l="1"/>
  <c r="Y58" i="8"/>
  <c r="AA39" i="8"/>
  <c r="AJ5" i="3" s="1"/>
  <c r="AI5" i="3"/>
  <c r="N23" i="1"/>
  <c r="N23" i="8"/>
  <c r="AE39" i="8"/>
  <c r="AN5" i="3" s="1"/>
  <c r="AM5" i="3"/>
  <c r="AE5" i="3"/>
  <c r="W39" i="8"/>
  <c r="AF5" i="3" s="1"/>
  <c r="W5" i="3"/>
  <c r="O39" i="8"/>
  <c r="X5" i="3" s="1"/>
  <c r="Q23" i="8" l="1"/>
  <c r="G5" i="3" s="1"/>
  <c r="D5" i="3"/>
  <c r="E5" i="3" s="1"/>
  <c r="O23" i="8"/>
  <c r="Q23" i="1"/>
  <c r="O23" i="1"/>
  <c r="M5" i="1" l="1"/>
  <c r="M11" i="1" s="1"/>
  <c r="M5" i="8"/>
  <c r="I3" i="3" l="1"/>
  <c r="M11" i="8"/>
  <c r="I9" i="3" s="1"/>
  <c r="P5" i="8" l="1"/>
  <c r="P5" i="1"/>
  <c r="P11" i="1" s="1"/>
  <c r="G6" i="1" s="1"/>
  <c r="T5" i="8"/>
  <c r="T5" i="1"/>
  <c r="T11" i="1" s="1"/>
  <c r="P3" i="3" l="1"/>
  <c r="T11" i="8"/>
  <c r="P9" i="3" s="1"/>
  <c r="L3" i="3"/>
  <c r="P11" i="8"/>
  <c r="G6" i="8" l="1"/>
  <c r="L9" i="3"/>
  <c r="Q6" i="8" l="1"/>
  <c r="Q6" i="1"/>
  <c r="AH38" i="8"/>
  <c r="AH38" i="1"/>
  <c r="O6" i="1"/>
  <c r="O6" i="8"/>
  <c r="N6" i="1"/>
  <c r="N6" i="8"/>
  <c r="AI38" i="1" l="1"/>
  <c r="AQ4" i="3"/>
  <c r="AI38" i="8"/>
  <c r="AR4" i="3" s="1"/>
  <c r="M4" i="3"/>
  <c r="K4" i="3"/>
  <c r="J4" i="3"/>
  <c r="N38" i="1" l="1"/>
  <c r="N38" i="8"/>
  <c r="V38" i="1"/>
  <c r="V38" i="8"/>
  <c r="Z38" i="1"/>
  <c r="Z38" i="8"/>
  <c r="AD38" i="1"/>
  <c r="AD38" i="8"/>
  <c r="R38" i="8"/>
  <c r="N22" i="8" s="1"/>
  <c r="R38" i="1"/>
  <c r="AA38" i="8" l="1"/>
  <c r="AJ4" i="3" s="1"/>
  <c r="AI4" i="3"/>
  <c r="S38" i="8"/>
  <c r="AB4" i="3" s="1"/>
  <c r="AA4" i="3"/>
  <c r="AM4" i="3"/>
  <c r="AE38" i="8"/>
  <c r="AN4" i="3" s="1"/>
  <c r="AE38" i="1"/>
  <c r="N22" i="1"/>
  <c r="R6" i="8"/>
  <c r="R6" i="1"/>
  <c r="AE4" i="3"/>
  <c r="W38" i="8"/>
  <c r="AF4" i="3" s="1"/>
  <c r="AA38" i="1"/>
  <c r="W38" i="1"/>
  <c r="W4" i="3"/>
  <c r="O38" i="8"/>
  <c r="X4" i="3" s="1"/>
  <c r="S38" i="1"/>
  <c r="O38" i="1"/>
  <c r="U6" i="8"/>
  <c r="U6" i="1"/>
  <c r="S6" i="1" l="1"/>
  <c r="S6" i="8"/>
  <c r="X54" i="8"/>
  <c r="Y54" i="1"/>
  <c r="Q22" i="1"/>
  <c r="O22" i="1"/>
  <c r="X55" i="8"/>
  <c r="Y55" i="1"/>
  <c r="Y57" i="1"/>
  <c r="X57" i="8"/>
  <c r="X56" i="8"/>
  <c r="Y56" i="1"/>
  <c r="N4" i="3"/>
  <c r="X53" i="8"/>
  <c r="Y53" i="1"/>
  <c r="O22" i="8"/>
  <c r="Q22" i="8"/>
  <c r="G4" i="3" s="1"/>
  <c r="D4" i="3"/>
  <c r="E4" i="3" s="1"/>
  <c r="Q4" i="3"/>
  <c r="Y58" i="1" l="1"/>
  <c r="X58" i="8"/>
  <c r="O4" i="3"/>
  <c r="AH37" i="1" l="1"/>
  <c r="AH37" i="8"/>
  <c r="O5" i="1"/>
  <c r="O11" i="1" s="1"/>
  <c r="O5" i="8"/>
  <c r="AI37" i="8" l="1"/>
  <c r="AR3" i="3" s="1"/>
  <c r="AQ3" i="3"/>
  <c r="AH43" i="8"/>
  <c r="K3" i="3"/>
  <c r="O11" i="8"/>
  <c r="K9" i="3" s="1"/>
  <c r="AI37" i="1"/>
  <c r="AH43" i="1"/>
  <c r="U25" i="1" l="1"/>
  <c r="AX7" i="3" s="1"/>
  <c r="AI43" i="1"/>
  <c r="V25" i="1" s="1"/>
  <c r="AY7" i="3" s="1"/>
  <c r="AQ9" i="3"/>
  <c r="AI43" i="8"/>
  <c r="U25" i="8"/>
  <c r="V25" i="8" l="1"/>
  <c r="AR9" i="3"/>
  <c r="Q5" i="1" l="1"/>
  <c r="Q11" i="1" s="1"/>
  <c r="Q5" i="8"/>
  <c r="M3" i="3" l="1"/>
  <c r="Q11" i="8"/>
  <c r="M9" i="3" s="1"/>
  <c r="N37" i="1" l="1"/>
  <c r="N37" i="8"/>
  <c r="R5" i="8"/>
  <c r="R5" i="1"/>
  <c r="R11" i="1" s="1"/>
  <c r="W53" i="8" l="1"/>
  <c r="X53" i="1"/>
  <c r="R37" i="1"/>
  <c r="R37" i="8"/>
  <c r="X57" i="1"/>
  <c r="AD57" i="1" s="1"/>
  <c r="W57" i="8"/>
  <c r="AC57" i="8" s="1"/>
  <c r="X56" i="1"/>
  <c r="AD56" i="1" s="1"/>
  <c r="W56" i="8"/>
  <c r="AC56" i="8" s="1"/>
  <c r="W55" i="8"/>
  <c r="AC55" i="8" s="1"/>
  <c r="X55" i="1"/>
  <c r="AD55" i="1" s="1"/>
  <c r="W54" i="8"/>
  <c r="AC54" i="8" s="1"/>
  <c r="X54" i="1"/>
  <c r="AD54" i="1" s="1"/>
  <c r="Z37" i="1"/>
  <c r="Z37" i="8"/>
  <c r="AD37" i="1"/>
  <c r="AD37" i="8"/>
  <c r="N3" i="3"/>
  <c r="R11" i="8"/>
  <c r="N9" i="3" s="1"/>
  <c r="V37" i="8"/>
  <c r="V37" i="1"/>
  <c r="W3" i="3"/>
  <c r="O37" i="8"/>
  <c r="X3" i="3" s="1"/>
  <c r="N43" i="8"/>
  <c r="S5" i="1"/>
  <c r="S11" i="1" s="1"/>
  <c r="B6" i="1" s="1"/>
  <c r="S5" i="8"/>
  <c r="O37" i="1"/>
  <c r="N43" i="1"/>
  <c r="N21" i="1" l="1"/>
  <c r="N21" i="8"/>
  <c r="AE37" i="1"/>
  <c r="AD43" i="1"/>
  <c r="U20" i="8"/>
  <c r="W9" i="3"/>
  <c r="O43" i="8"/>
  <c r="AA3" i="3"/>
  <c r="S37" i="8"/>
  <c r="AB3" i="3" s="1"/>
  <c r="R43" i="8"/>
  <c r="U20" i="1"/>
  <c r="AX2" i="3" s="1"/>
  <c r="O43" i="1"/>
  <c r="V20" i="1" s="1"/>
  <c r="AY2" i="3" s="1"/>
  <c r="W37" i="1"/>
  <c r="V43" i="1"/>
  <c r="S37" i="1"/>
  <c r="R43" i="1"/>
  <c r="AE3" i="3"/>
  <c r="W37" i="8"/>
  <c r="AF3" i="3" s="1"/>
  <c r="V43" i="8"/>
  <c r="AM3" i="3"/>
  <c r="AE37" i="8"/>
  <c r="AN3" i="3" s="1"/>
  <c r="AD43" i="8"/>
  <c r="AA37" i="8"/>
  <c r="AJ3" i="3" s="1"/>
  <c r="AI3" i="3"/>
  <c r="Z43" i="8"/>
  <c r="X58" i="1"/>
  <c r="AD53" i="1"/>
  <c r="AD58" i="1" s="1"/>
  <c r="O3" i="3"/>
  <c r="S11" i="8"/>
  <c r="AA37" i="1"/>
  <c r="Z43" i="1"/>
  <c r="W58" i="8"/>
  <c r="AC53" i="8"/>
  <c r="AC58" i="8" s="1"/>
  <c r="AE43" i="8" l="1"/>
  <c r="U24" i="8"/>
  <c r="AM9" i="3"/>
  <c r="W43" i="8"/>
  <c r="U22" i="8"/>
  <c r="G3" i="8" s="1"/>
  <c r="AE9" i="3"/>
  <c r="V20" i="8"/>
  <c r="X9" i="3"/>
  <c r="U21" i="8"/>
  <c r="F3" i="8" s="1"/>
  <c r="S43" i="8"/>
  <c r="AA9" i="3"/>
  <c r="U23" i="1"/>
  <c r="AX5" i="3" s="1"/>
  <c r="AA43" i="1"/>
  <c r="V23" i="1" s="1"/>
  <c r="AY5" i="3" s="1"/>
  <c r="I6" i="8"/>
  <c r="D6" i="8"/>
  <c r="O9" i="3"/>
  <c r="S43" i="1"/>
  <c r="V21" i="1" s="1"/>
  <c r="AY3" i="3" s="1"/>
  <c r="U21" i="1"/>
  <c r="AX3" i="3" s="1"/>
  <c r="U24" i="1"/>
  <c r="AX6" i="3" s="1"/>
  <c r="AE43" i="1"/>
  <c r="V24" i="1" s="1"/>
  <c r="AY6" i="3" s="1"/>
  <c r="W43" i="1"/>
  <c r="V22" i="1" s="1"/>
  <c r="AY4" i="3" s="1"/>
  <c r="U22" i="1"/>
  <c r="AX4" i="3" s="1"/>
  <c r="Q21" i="8"/>
  <c r="G3" i="3" s="1"/>
  <c r="D3" i="3"/>
  <c r="E3" i="3" s="1"/>
  <c r="O21" i="8"/>
  <c r="N27" i="8"/>
  <c r="U23" i="8"/>
  <c r="AA43" i="8"/>
  <c r="AI9" i="3"/>
  <c r="Q21" i="1"/>
  <c r="O21" i="1"/>
  <c r="N27" i="1"/>
  <c r="V21" i="8" l="1"/>
  <c r="AB9" i="3"/>
  <c r="Q27" i="1"/>
  <c r="R45" i="1"/>
  <c r="O27" i="1"/>
  <c r="B3" i="1" s="1"/>
  <c r="V23" i="8"/>
  <c r="AJ9" i="3"/>
  <c r="V22" i="8"/>
  <c r="AF9" i="3"/>
  <c r="Q27" i="8"/>
  <c r="G9" i="3" s="1"/>
  <c r="R45" i="8"/>
  <c r="O27" i="8"/>
  <c r="B3" i="8" s="1"/>
  <c r="D9" i="3"/>
  <c r="E9" i="3" s="1"/>
  <c r="V24" i="8"/>
  <c r="AN9" i="3"/>
  <c r="N7" i="1" l="1"/>
  <c r="N7" i="8"/>
  <c r="J5" i="3" l="1"/>
  <c r="U7" i="1" l="1"/>
  <c r="U7" i="8"/>
  <c r="Q5" i="3" l="1"/>
  <c r="N10" i="8" l="1"/>
  <c r="J8" i="3" s="1"/>
  <c r="N10" i="1"/>
  <c r="U10" i="8" l="1"/>
  <c r="Q8" i="3" s="1"/>
  <c r="U10" i="1"/>
  <c r="N8" i="1" l="1"/>
  <c r="N8" i="8"/>
  <c r="J6" i="3" s="1"/>
  <c r="U8" i="8" l="1"/>
  <c r="Q6" i="3" s="1"/>
  <c r="U8" i="1"/>
  <c r="N5" i="1" l="1"/>
  <c r="N11" i="1" s="1"/>
  <c r="E3" i="1" s="1"/>
  <c r="AC34" i="1" s="1"/>
  <c r="N5" i="8"/>
  <c r="J3" i="3" l="1"/>
  <c r="N11" i="8"/>
  <c r="I3" i="8" l="1"/>
  <c r="AC34" i="8" s="1"/>
  <c r="J9" i="3"/>
  <c r="U5" i="8" l="1"/>
  <c r="U5" i="1"/>
  <c r="U11" i="1" s="1"/>
  <c r="G3" i="1" s="1"/>
  <c r="Q3" i="3" l="1"/>
  <c r="U11" i="8"/>
  <c r="Q9" i="3" l="1"/>
  <c r="F6" i="8"/>
</calcChain>
</file>

<file path=xl/sharedStrings.xml><?xml version="1.0" encoding="utf-8"?>
<sst xmlns="http://schemas.openxmlformats.org/spreadsheetml/2006/main" count="359" uniqueCount="150">
  <si>
    <t>Overall Summary (Daily)</t>
  </si>
  <si>
    <t xml:space="preserve">Date: </t>
  </si>
  <si>
    <t xml:space="preserve">   </t>
  </si>
  <si>
    <t>Collection</t>
  </si>
  <si>
    <t>Registration</t>
  </si>
  <si>
    <t>Projects</t>
  </si>
  <si>
    <t>Total Live Bookings</t>
  </si>
  <si>
    <t>Daily Collection (In Cr)</t>
  </si>
  <si>
    <t>Monthly Collection (In Cr)</t>
  </si>
  <si>
    <t>Monthly Registrations</t>
  </si>
  <si>
    <t>Actual Demand Raised (In Cr) till date</t>
  </si>
  <si>
    <t>Collection (In Cr) till date</t>
  </si>
  <si>
    <t>Outstanding (In Cr) till date</t>
  </si>
  <si>
    <t xml:space="preserve">Pending Registrations </t>
  </si>
  <si>
    <t>Pending Registrations (&gt; 45 days)</t>
  </si>
  <si>
    <t>Registration 
Targets</t>
  </si>
  <si>
    <t>Registration 
Targets &lt; 20th of the month</t>
  </si>
  <si>
    <r>
      <t xml:space="preserve">Daily | Monthly Collection (In Cr) 
</t>
    </r>
    <r>
      <rPr>
        <sz val="12"/>
        <color theme="0"/>
        <rFont val="Times New Roman"/>
        <family val="1"/>
      </rPr>
      <t>(Includes Booking Amount)</t>
    </r>
  </si>
  <si>
    <t>Pending Registrations</t>
  </si>
  <si>
    <t>RAGHAV Paradise</t>
  </si>
  <si>
    <t>RAGHAV Parijat</t>
  </si>
  <si>
    <t>RAGHAV ANANTA</t>
  </si>
  <si>
    <t>Outstanding (In Cr) as of today</t>
  </si>
  <si>
    <t>CRM Forecast - Feb (In Cr.)</t>
  </si>
  <si>
    <t>Monthly Registrations Targets</t>
  </si>
  <si>
    <t>RAGHAV Vista</t>
  </si>
  <si>
    <t>RAGHAV Avenue</t>
  </si>
  <si>
    <t>RAGHAV Marvel</t>
  </si>
  <si>
    <t>RAGHAV Enclave</t>
  </si>
  <si>
    <t>Total</t>
  </si>
  <si>
    <t>Project wise: Target vs Achievement Status</t>
  </si>
  <si>
    <t>Category wise: Target vs Achievement Status</t>
  </si>
  <si>
    <t>Project</t>
  </si>
  <si>
    <t>Target</t>
  </si>
  <si>
    <t>Achievement</t>
  </si>
  <si>
    <t>Achievement %</t>
  </si>
  <si>
    <t>Forecast  as per CRM</t>
  </si>
  <si>
    <t>TARGET CATEGORY</t>
  </si>
  <si>
    <t>Forecast as per CRM</t>
  </si>
  <si>
    <t>Balance</t>
  </si>
  <si>
    <t>RAGHAV 
Paradise</t>
  </si>
  <si>
    <t xml:space="preserve">Spill 
Over </t>
  </si>
  <si>
    <t>RAGHAV 
Parijat</t>
  </si>
  <si>
    <t xml:space="preserve">Own Contribution (OCR) 
- Unregistered </t>
  </si>
  <si>
    <t>RAGHAV 
ANANTA</t>
  </si>
  <si>
    <t>OCR - New 
Bookings</t>
  </si>
  <si>
    <t>RAGHAV 
Vista</t>
  </si>
  <si>
    <t>RAGHAV 
Avenue</t>
  </si>
  <si>
    <t>RAGHAV 
Marvel</t>
  </si>
  <si>
    <t>New Slab / New 
Demand</t>
  </si>
  <si>
    <t>RAGHAV 
Enclave</t>
  </si>
  <si>
    <t>Overall</t>
  </si>
  <si>
    <t>Spill Over from Registered Bookings</t>
  </si>
  <si>
    <t>OCR - Unregistered Bookings</t>
  </si>
  <si>
    <t>Slab Amount / Possession Amt</t>
  </si>
  <si>
    <t>Target Headers</t>
  </si>
  <si>
    <t>Collection Target</t>
  </si>
  <si>
    <t>Collection Achievement</t>
  </si>
  <si>
    <t xml:space="preserve"> </t>
  </si>
  <si>
    <t>Raghav 
Paradise</t>
  </si>
  <si>
    <t>Raghav 
Parijat</t>
  </si>
  <si>
    <t>Raghav 
Vista</t>
  </si>
  <si>
    <t>Raghav 
Marvel</t>
  </si>
  <si>
    <t>Raghav 
Enclave</t>
  </si>
  <si>
    <t xml:space="preserve">Weekly Forecast </t>
  </si>
  <si>
    <t>Headers</t>
  </si>
  <si>
    <t>Weekly Forecast</t>
  </si>
  <si>
    <t>Customer Committed Amount</t>
  </si>
  <si>
    <t>Week 1</t>
  </si>
  <si>
    <t>Week 2</t>
  </si>
  <si>
    <t>OCR - New Bookings</t>
  </si>
  <si>
    <t>Week 3</t>
  </si>
  <si>
    <t>Week 4</t>
  </si>
  <si>
    <t>Week 5</t>
  </si>
  <si>
    <t xml:space="preserve">Total </t>
  </si>
  <si>
    <t>Spill Over</t>
  </si>
  <si>
    <t>Total Expected</t>
  </si>
  <si>
    <t>Project Wise Status</t>
  </si>
  <si>
    <t>Registration Targets</t>
  </si>
  <si>
    <t>Monthly  CRM
Targets (In Cr)</t>
  </si>
  <si>
    <t>Monthly 
Collection (In Cr)</t>
  </si>
  <si>
    <t>Daily 
Collection (In Cr)</t>
  </si>
  <si>
    <t>Registration Pending 
(&gt; 45 Days) as of today</t>
  </si>
  <si>
    <t>Raghav Paradise</t>
  </si>
  <si>
    <t>Raghav Parijat</t>
  </si>
  <si>
    <t>Registrations Pending (&gt; 45 Days)</t>
  </si>
  <si>
    <t>Raghav Nova</t>
  </si>
  <si>
    <t>Outstanding (In Cr) 
as of today</t>
  </si>
  <si>
    <t>Committed Forecast - Apr (In Cr) as per CRM</t>
  </si>
  <si>
    <t>Committed Forecast - Apr (In Cr) by Customer</t>
  </si>
  <si>
    <t>Raghav Amara</t>
  </si>
  <si>
    <t>Raghav Marvel</t>
  </si>
  <si>
    <t>Collection Details</t>
  </si>
  <si>
    <t xml:space="preserve">Forecast </t>
  </si>
  <si>
    <t>Ageing Collection Outstanding - Weekly</t>
  </si>
  <si>
    <t>&lt;= 30 days
Outstanding</t>
  </si>
  <si>
    <t>Pending Collection</t>
  </si>
  <si>
    <t>31 to 60 days
Outstanding</t>
  </si>
  <si>
    <t>Raghav 
Nova</t>
  </si>
  <si>
    <t>61 to 90 days
Outstanding</t>
  </si>
  <si>
    <t>Raghav 
Amara</t>
  </si>
  <si>
    <t>91 to 120 days
Outstanding</t>
  </si>
  <si>
    <t>121 - 150 days
Outstanding</t>
  </si>
  <si>
    <t>151 - 180 days
Outstanding</t>
  </si>
  <si>
    <t xml:space="preserve"> &gt; 180 days
Outstanding</t>
  </si>
  <si>
    <t>Paradise</t>
  </si>
  <si>
    <t>Otustanding Ageing</t>
  </si>
  <si>
    <t>Amount Collected</t>
  </si>
  <si>
    <t>CRM: Target vs Achievements</t>
  </si>
  <si>
    <t>Sales: Target vs Achievement</t>
  </si>
  <si>
    <t>Overall Collection</t>
  </si>
  <si>
    <t>CRM Monthly Target vs Achievement (In Cr)</t>
  </si>
  <si>
    <t xml:space="preserve">OCR till 10% 
(In Cr.) </t>
  </si>
  <si>
    <t>Monthly New Bookings
(In Cr.)</t>
  </si>
  <si>
    <r>
      <t xml:space="preserve">Daily | Monthly Collection (In Cr) 
</t>
    </r>
    <r>
      <rPr>
        <sz val="12"/>
        <color theme="0"/>
        <rFont val="Times New Roman"/>
        <family val="1"/>
      </rPr>
      <t>(Includes Sales + CRM)</t>
    </r>
  </si>
  <si>
    <t>Registrations (Sales)</t>
  </si>
  <si>
    <t>CRM Monthly Forecast (In Cr.)</t>
  </si>
  <si>
    <t>CRM Outstanding (In Cr)
 as of today</t>
  </si>
  <si>
    <t>RAGHAV UTOPIA</t>
  </si>
  <si>
    <t>Forecast - Achievement</t>
  </si>
  <si>
    <t>OCR - 
Unregistered Bookings</t>
  </si>
  <si>
    <t>OCR -
New 
Bookings</t>
  </si>
  <si>
    <t>RAGHAV 
UTOPIA</t>
  </si>
  <si>
    <t>Raghav 
UTOPIA</t>
  </si>
  <si>
    <t>Outstanding</t>
  </si>
  <si>
    <t>b</t>
  </si>
  <si>
    <t>Spill Over Collection Target</t>
  </si>
  <si>
    <t>Spill Over  Collection Achievement</t>
  </si>
  <si>
    <t>Spill Over Achievement %</t>
  </si>
  <si>
    <t>Spill Over Forecast as per CRM</t>
  </si>
  <si>
    <t>OCR Collection Target</t>
  </si>
  <si>
    <t>OCR Collection Achievement</t>
  </si>
  <si>
    <t>OCR Achievement %</t>
  </si>
  <si>
    <t>OCR Forecast as per CRM</t>
  </si>
  <si>
    <t>New Booking Collection Target</t>
  </si>
  <si>
    <t>New Booking  Collection Achievement</t>
  </si>
  <si>
    <t>New Booking  Achievement %</t>
  </si>
  <si>
    <t>New Booking  Forecast as per CRM</t>
  </si>
  <si>
    <t>Demands for Registration post 20th Collection Target</t>
  </si>
  <si>
    <t>Demands for Registration post 20th Collection Achievement</t>
  </si>
  <si>
    <t>Demands for Registration post 20th Achievement %</t>
  </si>
  <si>
    <t>Demands for Registration post 20th Forecast as per CRM</t>
  </si>
  <si>
    <t>Expected Registrations Collection Target</t>
  </si>
  <si>
    <t>Expected Registrations Collection Achievement</t>
  </si>
  <si>
    <t>Expected Registrations Achievement %</t>
  </si>
  <si>
    <t>Expected Registrations Forecast as per CRM</t>
  </si>
  <si>
    <t>Slab Amount Collection Target</t>
  </si>
  <si>
    <t>Slab Amount Collection Achievement</t>
  </si>
  <si>
    <t>Slab Amount Achievement %</t>
  </si>
  <si>
    <t>Slab Amount Forecast as per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</si>
</sst>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₹&quot;* #,##0.00_);_(&quot;₹&quot;* \(#,##0.00\);_(&quot;₹&quot;* &quot;-&quot;??_);_(@_)"/>
    <numFmt numFmtId="166" formatCode="&quot;₹&quot;\ #,##0.00"/>
    <numFmt numFmtId="167" formatCode="&quot;₹&quot;\ #,##0.0"/>
    <numFmt numFmtId="168" formatCode="_ * #,##0_ ;_ * \-#,##0_ ;_ * &quot;-&quot;??_ ;_ @_ "/>
    <numFmt numFmtId="169" formatCode="&quot;$&quot;#,##0.0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2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24"/>
      <color theme="0"/>
      <name val="Times New Roman"/>
      <family val="1"/>
    </font>
    <font>
      <b/>
      <sz val="2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28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b/>
      <u/>
      <sz val="26"/>
      <color theme="1"/>
      <name val="Times New Roman"/>
      <family val="1"/>
    </font>
    <font>
      <sz val="26"/>
      <color theme="1"/>
      <name val="Times New Roman"/>
      <family val="1"/>
    </font>
    <font>
      <b/>
      <u/>
      <sz val="28"/>
      <name val="Times New Roman"/>
      <family val="1"/>
    </font>
    <font>
      <b/>
      <sz val="36"/>
      <color theme="0"/>
      <name val="Times New Roman"/>
      <family val="1"/>
    </font>
    <font>
      <b/>
      <sz val="36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36"/>
      <color theme="1"/>
      <name val="Times New Roman"/>
      <family val="1"/>
    </font>
    <font>
      <b/>
      <u/>
      <sz val="36"/>
      <color theme="1"/>
      <name val="Times New Roman"/>
      <family val="1"/>
    </font>
    <font>
      <b/>
      <sz val="36"/>
      <name val="Times New Roman"/>
      <family val="1"/>
    </font>
    <font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6" tint="-0.499984740745262"/>
        <bgColor rgb="FFFFCDCD"/>
      </patternFill>
    </fill>
    <fill>
      <patternFill patternType="solid">
        <fgColor rgb="FF7F7F7F"/>
        <bgColor rgb="FF7F7F7F"/>
      </patternFill>
    </fill>
    <fill>
      <patternFill patternType="solid">
        <fgColor theme="1" tint="0.14999847407452621"/>
        <bgColor rgb="FFFFCDCD"/>
      </patternFill>
    </fill>
    <fill>
      <patternFill patternType="solid">
        <fgColor theme="5" tint="0.79998168889431442"/>
        <bgColor rgb="FFDEEAF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7F7F7F"/>
      </patternFill>
    </fill>
    <fill>
      <patternFill patternType="solid">
        <fgColor rgb="FFC40000"/>
        <bgColor rgb="FFDEEAF6"/>
      </patternFill>
    </fill>
    <fill>
      <patternFill patternType="solid">
        <fgColor rgb="FFEAE400"/>
        <bgColor rgb="FFDEEAF6"/>
      </patternFill>
    </fill>
    <fill>
      <patternFill patternType="solid">
        <fgColor rgb="FF00B0F0"/>
        <bgColor rgb="FFFFCDCD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58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6" fontId="6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7" fillId="3" borderId="2" xfId="1" applyFont="1" applyFill="1" applyBorder="1" applyAlignment="1">
      <alignment horizontal="center" vertical="center" wrapText="1"/>
    </xf>
    <xf numFmtId="10" fontId="7" fillId="3" borderId="2" xfId="2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6" fontId="7" fillId="3" borderId="3" xfId="1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166" fontId="8" fillId="5" borderId="2" xfId="0" applyNumberFormat="1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6" fontId="14" fillId="7" borderId="2" xfId="1" applyNumberFormat="1" applyFont="1" applyFill="1" applyBorder="1" applyAlignment="1">
      <alignment horizontal="center" vertical="center" wrapText="1"/>
    </xf>
    <xf numFmtId="165" fontId="14" fillId="7" borderId="2" xfId="1" applyFont="1" applyFill="1" applyBorder="1" applyAlignment="1">
      <alignment horizontal="center" vertical="center" wrapText="1"/>
    </xf>
    <xf numFmtId="166" fontId="14" fillId="7" borderId="5" xfId="1" applyNumberFormat="1" applyFont="1" applyFill="1" applyBorder="1" applyAlignment="1">
      <alignment horizontal="center" vertical="center" wrapText="1"/>
    </xf>
    <xf numFmtId="166" fontId="14" fillId="7" borderId="9" xfId="1" applyNumberFormat="1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18" fillId="0" borderId="0" xfId="2" applyFont="1" applyFill="1" applyBorder="1" applyAlignment="1">
      <alignment horizontal="center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166" fontId="6" fillId="9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6" fontId="3" fillId="0" borderId="0" xfId="0" applyNumberFormat="1" applyFont="1"/>
    <xf numFmtId="167" fontId="9" fillId="0" borderId="0" xfId="0" applyNumberFormat="1" applyFont="1" applyAlignment="1">
      <alignment horizontal="center" vertical="center"/>
    </xf>
    <xf numFmtId="165" fontId="3" fillId="0" borderId="2" xfId="0" applyNumberFormat="1" applyFont="1" applyBorder="1" applyAlignment="1" applyProtection="1">
      <alignment horizontal="center" vertical="center"/>
      <protection locked="0"/>
    </xf>
    <xf numFmtId="165" fontId="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164" fontId="3" fillId="0" borderId="0" xfId="3" applyFont="1" applyProtection="1">
      <protection locked="0"/>
    </xf>
    <xf numFmtId="0" fontId="12" fillId="6" borderId="2" xfId="0" applyFont="1" applyFill="1" applyBorder="1" applyAlignment="1">
      <alignment horizontal="center" vertical="center"/>
    </xf>
    <xf numFmtId="164" fontId="12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164" fontId="21" fillId="0" borderId="0" xfId="3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/>
    <xf numFmtId="166" fontId="21" fillId="5" borderId="2" xfId="0" applyNumberFormat="1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166" fontId="21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12" fillId="5" borderId="2" xfId="0" applyNumberFormat="1" applyFont="1" applyFill="1" applyBorder="1" applyAlignment="1">
      <alignment horizontal="center" vertical="center" wrapText="1"/>
    </xf>
    <xf numFmtId="166" fontId="12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25" fillId="8" borderId="1" xfId="0" applyNumberFormat="1" applyFont="1" applyFill="1" applyBorder="1" applyAlignment="1">
      <alignment horizontal="center" vertical="center" wrapText="1"/>
    </xf>
    <xf numFmtId="166" fontId="26" fillId="9" borderId="1" xfId="0" applyNumberFormat="1" applyFont="1" applyFill="1" applyBorder="1" applyAlignment="1">
      <alignment horizontal="center" vertical="center" wrapText="1"/>
    </xf>
    <xf numFmtId="0" fontId="27" fillId="0" borderId="0" xfId="4"/>
    <xf numFmtId="164" fontId="3" fillId="0" borderId="0" xfId="0" applyNumberFormat="1" applyFont="1"/>
    <xf numFmtId="10" fontId="3" fillId="0" borderId="2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2" fillId="0" borderId="0" xfId="0" applyFont="1" applyAlignment="1">
      <alignment wrapText="1"/>
    </xf>
    <xf numFmtId="164" fontId="4" fillId="0" borderId="0" xfId="0" applyNumberFormat="1" applyFont="1" applyAlignment="1">
      <alignment vertical="center"/>
    </xf>
    <xf numFmtId="0" fontId="28" fillId="0" borderId="0" xfId="0" applyFont="1"/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8" fillId="0" borderId="0" xfId="0" applyFont="1" applyAlignment="1">
      <alignment wrapText="1"/>
    </xf>
    <xf numFmtId="166" fontId="30" fillId="9" borderId="1" xfId="0" applyNumberFormat="1" applyFont="1" applyFill="1" applyBorder="1" applyAlignment="1">
      <alignment horizontal="center" vertical="center" wrapText="1"/>
    </xf>
    <xf numFmtId="164" fontId="21" fillId="5" borderId="2" xfId="3" applyFont="1" applyFill="1" applyBorder="1" applyAlignment="1">
      <alignment horizontal="center" vertical="center" wrapText="1"/>
    </xf>
    <xf numFmtId="164" fontId="12" fillId="6" borderId="2" xfId="3" applyFont="1" applyFill="1" applyBorder="1" applyAlignment="1">
      <alignment horizontal="center" vertical="center"/>
    </xf>
    <xf numFmtId="164" fontId="12" fillId="5" borderId="2" xfId="3" applyFont="1" applyFill="1" applyBorder="1" applyAlignment="1">
      <alignment horizontal="center" vertical="center" wrapText="1"/>
    </xf>
    <xf numFmtId="168" fontId="21" fillId="5" borderId="2" xfId="3" applyNumberFormat="1" applyFont="1" applyFill="1" applyBorder="1" applyAlignment="1">
      <alignment vertical="center" wrapText="1"/>
    </xf>
    <xf numFmtId="168" fontId="12" fillId="6" borderId="2" xfId="3" applyNumberFormat="1" applyFont="1" applyFill="1" applyBorder="1" applyAlignment="1">
      <alignment vertical="center"/>
    </xf>
    <xf numFmtId="168" fontId="12" fillId="5" borderId="2" xfId="3" applyNumberFormat="1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0" fillId="0" borderId="2" xfId="0" applyBorder="1"/>
    <xf numFmtId="0" fontId="12" fillId="0" borderId="2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164" fontId="32" fillId="6" borderId="2" xfId="3" applyFont="1" applyFill="1" applyBorder="1" applyAlignment="1">
      <alignment horizontal="center" vertical="center"/>
    </xf>
    <xf numFmtId="168" fontId="32" fillId="5" borderId="2" xfId="3" applyNumberFormat="1" applyFont="1" applyFill="1" applyBorder="1" applyAlignment="1">
      <alignment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" fontId="32" fillId="5" borderId="2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 applyProtection="1">
      <alignment horizontal="center" vertical="center"/>
      <protection locked="0"/>
    </xf>
    <xf numFmtId="0" fontId="32" fillId="0" borderId="2" xfId="0" applyFont="1" applyBorder="1" applyAlignment="1">
      <alignment horizontal="center" vertical="center" wrapText="1"/>
    </xf>
    <xf numFmtId="165" fontId="3" fillId="0" borderId="10" xfId="0" applyNumberFormat="1" applyFont="1" applyBorder="1" applyAlignment="1" applyProtection="1">
      <alignment horizontal="center" vertical="center"/>
      <protection locked="0"/>
    </xf>
    <xf numFmtId="165" fontId="3" fillId="0" borderId="13" xfId="0" applyNumberFormat="1" applyFont="1" applyBorder="1" applyAlignment="1">
      <alignment horizontal="center" vertical="center"/>
    </xf>
    <xf numFmtId="10" fontId="3" fillId="0" borderId="13" xfId="2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 applyProtection="1">
      <alignment horizontal="center" vertical="center"/>
      <protection locked="0"/>
    </xf>
    <xf numFmtId="10" fontId="3" fillId="0" borderId="19" xfId="2" applyNumberFormat="1" applyFont="1" applyBorder="1" applyAlignment="1">
      <alignment horizontal="center" vertical="center"/>
    </xf>
    <xf numFmtId="165" fontId="3" fillId="0" borderId="20" xfId="0" applyNumberFormat="1" applyFont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>
      <alignment horizontal="center" vertical="center" wrapText="1"/>
    </xf>
    <xf numFmtId="165" fontId="3" fillId="0" borderId="25" xfId="0" applyNumberFormat="1" applyFont="1" applyBorder="1" applyAlignment="1" applyProtection="1">
      <alignment horizontal="center" vertical="center"/>
      <protection locked="0"/>
    </xf>
    <xf numFmtId="165" fontId="3" fillId="0" borderId="26" xfId="0" applyNumberFormat="1" applyFont="1" applyBorder="1" applyAlignment="1" applyProtection="1">
      <alignment horizontal="center" vertical="center"/>
      <protection locked="0"/>
    </xf>
    <xf numFmtId="165" fontId="3" fillId="0" borderId="27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vertical="center"/>
    </xf>
    <xf numFmtId="165" fontId="3" fillId="0" borderId="6" xfId="0" applyNumberFormat="1" applyFont="1" applyBorder="1" applyAlignment="1" applyProtection="1">
      <alignment horizontal="center" vertical="center"/>
      <protection locked="0"/>
    </xf>
    <xf numFmtId="165" fontId="3" fillId="0" borderId="7" xfId="0" applyNumberFormat="1" applyFont="1" applyBorder="1" applyAlignment="1" applyProtection="1">
      <alignment horizontal="center" vertical="center"/>
      <protection locked="0"/>
    </xf>
    <xf numFmtId="165" fontId="3" fillId="0" borderId="11" xfId="0" applyNumberFormat="1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165" fontId="3" fillId="0" borderId="34" xfId="0" applyNumberFormat="1" applyFont="1" applyBorder="1" applyAlignment="1" applyProtection="1">
      <alignment horizontal="center" vertical="center"/>
      <protection locked="0"/>
    </xf>
    <xf numFmtId="165" fontId="3" fillId="0" borderId="35" xfId="0" applyNumberFormat="1" applyFont="1" applyBorder="1" applyAlignment="1" applyProtection="1">
      <alignment horizontal="center" vertical="center"/>
      <protection locked="0"/>
    </xf>
    <xf numFmtId="165" fontId="3" fillId="0" borderId="36" xfId="0" applyNumberFormat="1" applyFont="1" applyBorder="1" applyAlignment="1">
      <alignment horizontal="center" vertical="center"/>
    </xf>
    <xf numFmtId="9" fontId="3" fillId="0" borderId="0" xfId="2" applyFont="1"/>
    <xf numFmtId="9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/>
    <xf numFmtId="164" fontId="19" fillId="0" borderId="0" xfId="0" applyNumberFormat="1" applyFont="1" applyAlignment="1">
      <alignment horizontal="center" vertical="center"/>
    </xf>
    <xf numFmtId="1" fontId="25" fillId="8" borderId="16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/>
    </xf>
    <xf numFmtId="0" fontId="11" fillId="4" borderId="39" xfId="0" applyFont="1" applyFill="1" applyBorder="1" applyAlignment="1">
      <alignment horizontal="center" vertical="center" wrapText="1"/>
    </xf>
    <xf numFmtId="169" fontId="26" fillId="6" borderId="38" xfId="0" applyNumberFormat="1" applyFont="1" applyFill="1" applyBorder="1" applyAlignment="1">
      <alignment horizontal="center" vertical="center" wrapText="1"/>
    </xf>
    <xf numFmtId="1" fontId="26" fillId="6" borderId="16" xfId="0" applyNumberFormat="1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6" fontId="33" fillId="11" borderId="2" xfId="0" applyNumberFormat="1" applyFont="1" applyFill="1" applyBorder="1" applyAlignment="1">
      <alignment horizontal="center" vertical="center" wrapText="1"/>
    </xf>
    <xf numFmtId="166" fontId="11" fillId="11" borderId="2" xfId="0" applyNumberFormat="1" applyFont="1" applyFill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8" fillId="10" borderId="2" xfId="0" applyNumberFormat="1" applyFont="1" applyFill="1" applyBorder="1" applyAlignment="1">
      <alignment horizontal="center" vertical="center" wrapText="1"/>
    </xf>
    <xf numFmtId="166" fontId="18" fillId="3" borderId="2" xfId="2" applyNumberFormat="1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165" fontId="3" fillId="0" borderId="47" xfId="0" applyNumberFormat="1" applyFont="1" applyBorder="1" applyAlignment="1" applyProtection="1">
      <alignment horizontal="center" vertical="center"/>
      <protection locked="0"/>
    </xf>
    <xf numFmtId="0" fontId="9" fillId="0" borderId="48" xfId="0" applyFont="1" applyBorder="1" applyAlignment="1">
      <alignment horizontal="center" vertical="center" wrapText="1"/>
    </xf>
    <xf numFmtId="165" fontId="3" fillId="0" borderId="49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wrapText="1"/>
    </xf>
    <xf numFmtId="0" fontId="8" fillId="0" borderId="51" xfId="0" applyFont="1" applyBorder="1" applyAlignment="1">
      <alignment horizontal="center" vertical="center"/>
    </xf>
    <xf numFmtId="165" fontId="3" fillId="0" borderId="52" xfId="0" applyNumberFormat="1" applyFont="1" applyBorder="1" applyAlignment="1">
      <alignment horizontal="center" vertical="center"/>
    </xf>
    <xf numFmtId="165" fontId="3" fillId="0" borderId="53" xfId="0" applyNumberFormat="1" applyFont="1" applyBorder="1" applyAlignment="1">
      <alignment horizontal="center" vertical="center"/>
    </xf>
    <xf numFmtId="10" fontId="3" fillId="0" borderId="53" xfId="2" applyNumberFormat="1" applyFont="1" applyBorder="1" applyAlignment="1">
      <alignment horizontal="center" vertical="center"/>
    </xf>
    <xf numFmtId="165" fontId="3" fillId="0" borderId="54" xfId="0" applyNumberFormat="1" applyFont="1" applyBorder="1" applyAlignment="1">
      <alignment horizontal="center" vertical="center"/>
    </xf>
    <xf numFmtId="165" fontId="3" fillId="0" borderId="55" xfId="0" applyNumberFormat="1" applyFont="1" applyBorder="1" applyAlignment="1">
      <alignment horizontal="center" vertical="center"/>
    </xf>
    <xf numFmtId="165" fontId="3" fillId="0" borderId="56" xfId="0" applyNumberFormat="1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0" fontId="0" fillId="0" borderId="58" xfId="0" applyBorder="1"/>
    <xf numFmtId="0" fontId="0" fillId="0" borderId="19" xfId="0" applyBorder="1"/>
    <xf numFmtId="0" fontId="33" fillId="1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166" fontId="32" fillId="0" borderId="19" xfId="0" applyNumberFormat="1" applyFont="1" applyBorder="1" applyAlignment="1">
      <alignment horizontal="center" vertical="center" wrapText="1"/>
    </xf>
    <xf numFmtId="10" fontId="32" fillId="0" borderId="19" xfId="2" applyNumberFormat="1" applyFont="1" applyBorder="1" applyAlignment="1">
      <alignment horizontal="center" vertical="center" wrapText="1"/>
    </xf>
    <xf numFmtId="166" fontId="32" fillId="0" borderId="20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66" fontId="32" fillId="0" borderId="2" xfId="0" applyNumberFormat="1" applyFont="1" applyBorder="1" applyAlignment="1">
      <alignment horizontal="center" vertical="center" wrapText="1"/>
    </xf>
    <xf numFmtId="10" fontId="32" fillId="0" borderId="2" xfId="2" applyNumberFormat="1" applyFont="1" applyBorder="1" applyAlignment="1">
      <alignment horizontal="center" vertical="center" wrapText="1"/>
    </xf>
    <xf numFmtId="166" fontId="32" fillId="0" borderId="10" xfId="0" applyNumberFormat="1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166" fontId="32" fillId="0" borderId="13" xfId="0" applyNumberFormat="1" applyFont="1" applyBorder="1" applyAlignment="1">
      <alignment horizontal="center" vertical="center" wrapText="1"/>
    </xf>
    <xf numFmtId="10" fontId="32" fillId="0" borderId="13" xfId="2" applyNumberFormat="1" applyFont="1" applyBorder="1" applyAlignment="1">
      <alignment horizontal="center" vertical="center" wrapText="1"/>
    </xf>
    <xf numFmtId="166" fontId="32" fillId="0" borderId="12" xfId="0" applyNumberFormat="1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165" fontId="11" fillId="3" borderId="19" xfId="1" applyFont="1" applyFill="1" applyBorder="1" applyAlignment="1">
      <alignment horizontal="center" vertical="center" wrapText="1"/>
    </xf>
    <xf numFmtId="10" fontId="11" fillId="3" borderId="19" xfId="2" applyNumberFormat="1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165" fontId="11" fillId="3" borderId="2" xfId="1" applyFont="1" applyFill="1" applyBorder="1" applyAlignment="1">
      <alignment horizontal="center" vertical="center" wrapText="1"/>
    </xf>
    <xf numFmtId="10" fontId="11" fillId="3" borderId="2" xfId="2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65" fontId="11" fillId="3" borderId="13" xfId="1" applyFont="1" applyFill="1" applyBorder="1" applyAlignment="1">
      <alignment horizontal="center" vertical="center" wrapText="1"/>
    </xf>
    <xf numFmtId="10" fontId="11" fillId="3" borderId="13" xfId="2" applyNumberFormat="1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30" fillId="9" borderId="16" xfId="0" applyNumberFormat="1" applyFont="1" applyFill="1" applyBorder="1" applyAlignment="1">
      <alignment horizontal="center" vertical="center" wrapText="1"/>
    </xf>
    <xf numFmtId="166" fontId="30" fillId="9" borderId="17" xfId="0" applyNumberFormat="1" applyFont="1" applyFill="1" applyBorder="1" applyAlignment="1">
      <alignment horizontal="center" vertical="center" wrapText="1"/>
    </xf>
    <xf numFmtId="166" fontId="30" fillId="9" borderId="18" xfId="0" applyNumberFormat="1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" fontId="25" fillId="8" borderId="16" xfId="0" applyNumberFormat="1" applyFont="1" applyFill="1" applyBorder="1" applyAlignment="1">
      <alignment horizontal="center" vertical="center" wrapText="1"/>
    </xf>
    <xf numFmtId="1" fontId="25" fillId="8" borderId="17" xfId="0" applyNumberFormat="1" applyFont="1" applyFill="1" applyBorder="1" applyAlignment="1">
      <alignment horizontal="center" vertical="center" wrapText="1"/>
    </xf>
    <xf numFmtId="1" fontId="25" fillId="8" borderId="18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 wrapText="1"/>
    </xf>
    <xf numFmtId="1" fontId="5" fillId="8" borderId="17" xfId="0" applyNumberFormat="1" applyFont="1" applyFill="1" applyBorder="1" applyAlignment="1">
      <alignment horizontal="center" vertical="center" wrapText="1"/>
    </xf>
    <xf numFmtId="1" fontId="5" fillId="8" borderId="18" xfId="0" applyNumberFormat="1" applyFont="1" applyFill="1" applyBorder="1" applyAlignment="1">
      <alignment horizontal="center" vertical="center" wrapText="1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AE400"/>
      <color rgb="FFC00000"/>
      <color rgb="FFDBD600"/>
      <color rgb="FFC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-Feb'26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9151621587595193E-3"/>
                  <c:y val="-3.84220347056085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E-45E1-86D2-B903113E04A2}"/>
                </c:ext>
              </c:extLst>
            </c:dLbl>
            <c:dLbl>
              <c:idx val="2"/>
              <c:layout>
                <c:manualLayout>
                  <c:x val="-3.592340192111217E-3"/>
                  <c:y val="-3.8856630340319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19-4260-838B-87F431BAC18A}"/>
                </c:ext>
              </c:extLst>
            </c:dLbl>
            <c:dLbl>
              <c:idx val="4"/>
              <c:layout>
                <c:manualLayout>
                  <c:x val="1.9365836723430393E-2"/>
                  <c:y val="-9.0111336596523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25-4C76-AF1B-2ED9C293FC80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F2-4683-AA7D-435EE05F64E1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25-4C76-AF1B-2ED9C293FC80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Overall!$M$20:$M$27</c15:sqref>
                  </c15:fullRef>
                </c:ext>
              </c:extLst>
              <c:f>Overall!$M$20:$M$26</c:f>
              <c:numCache>
                <c:formatCode>_("₹"* #,##0.00_);_("₹"* \(#,##0.00\);_("₹"* "-"??_);_(@_)</c:formatCode>
                <c:ptCount val="7"/>
                <c:pt idx="0">
                  <c:v>6.2309036000000004</c:v>
                </c:pt>
                <c:pt idx="1">
                  <c:v>14.267345199999999</c:v>
                </c:pt>
                <c:pt idx="2">
                  <c:v>8.5662664999999993</c:v>
                </c:pt>
                <c:pt idx="3">
                  <c:v>7.7708970000000006</c:v>
                </c:pt>
                <c:pt idx="4">
                  <c:v>5.5341277</c:v>
                </c:pt>
                <c:pt idx="5">
                  <c:v>0.23</c:v>
                </c:pt>
                <c:pt idx="6">
                  <c:v>4.4866185999999999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0D4-9B56-D04AC4BCEE26}"/>
            </c:ext>
          </c:extLst>
        </c:ser>
        <c:ser>
          <c:idx val="1"/>
          <c:order val="1"/>
          <c:tx>
            <c:strRef>
              <c:f>Overall!$N$19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AE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D-40D4-9B56-D04AC4BCEE2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A7-4FA5-8BCB-19926CC8C643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7D-40D4-9B56-D04AC4BCEE2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C0-4224-B7AB-C31344A9976C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84-4DAE-BE23-1FA486F86B04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F2-4683-AA7D-435EE05F64E1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25-4C76-AF1B-2ED9C293FC80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Overall!$N$20:$N$27</c15:sqref>
                  </c15:fullRef>
                </c:ext>
              </c:extLst>
              <c:f>Overall!$N$20:$N$26</c:f>
              <c:numCache>
                <c:formatCode>_("₹"* #,##0.00_);_("₹"* \(#,##0.00\);_("₹"* "-"??_);_(@_)</c:formatCode>
                <c:ptCount val="7"/>
                <c:pt idx="0">
                  <c:v>4.4100472000000002</c:v>
                </c:pt>
                <c:pt idx="1">
                  <c:v>8.6502189809523795</c:v>
                </c:pt>
                <c:pt idx="2">
                  <c:v>5.0352060579523812</c:v>
                </c:pt>
                <c:pt idx="3">
                  <c:v>3.9198344761904762</c:v>
                </c:pt>
                <c:pt idx="4">
                  <c:v>4.2083466523809534</c:v>
                </c:pt>
                <c:pt idx="5">
                  <c:v>0</c:v>
                </c:pt>
                <c:pt idx="6">
                  <c:v>2.2055190476190476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D-40D4-9B56-D04AC4BC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647D-40D4-9B56-D04AC4BCEE2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47D-40D4-9B56-D04AC4BCEE2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47D-40D4-9B56-D04AC4BCEE2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47D-40D4-9B56-D04AC4BCEE2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C525-4C76-AF1B-2ED9C293FC80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Overall!$L$20:$L$27</c15:sqref>
                        </c15:fullRef>
                        <c15:formulaRef>
                          <c15:sqref>Overall!$L$20:$L$26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Marvel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Overall!$O$20:$O$27</c15:sqref>
                        </c15:fullRef>
                        <c15:formulaRef>
                          <c15:sqref>Overall!$O$20:$O$26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0.70777008971860833</c:v>
                      </c:pt>
                      <c:pt idx="1">
                        <c:v>0.60629492450721523</c:v>
                      </c:pt>
                      <c:pt idx="2">
                        <c:v>0.58779470122163269</c:v>
                      </c:pt>
                      <c:pt idx="3">
                        <c:v>0.50442496872503595</c:v>
                      </c:pt>
                      <c:pt idx="4">
                        <c:v>0.76043540744116789</c:v>
                      </c:pt>
                      <c:pt idx="5">
                        <c:v>0</c:v>
                      </c:pt>
                      <c:pt idx="6">
                        <c:v>0.49157711948571864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7B1E-46F5-87A6-BDD2E9BB193F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2-647D-40D4-9B56-D04AC4BCEE2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Feb</a:t>
            </a:r>
            <a:r>
              <a:rPr lang="en-IN" sz="2000" b="1" baseline="0">
                <a:solidFill>
                  <a:sysClr val="windowText" lastClr="000000"/>
                </a:solidFill>
              </a:rPr>
              <a:t>'26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B-4D69-88A0-00A9FDE67168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5-49FF-9309-D8DD12299E11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5E-49F2-A595-8CB060AF4AE2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Overall!$T$20:$T$25</c:f>
              <c:numCache>
                <c:formatCode>_("₹"* #,##0.00_);_("₹"* \(#,##0.00\);_("₹"* "-"??_);_(@_)</c:formatCode>
                <c:ptCount val="6"/>
                <c:pt idx="0">
                  <c:v>13.627007200000001</c:v>
                </c:pt>
                <c:pt idx="1">
                  <c:v>1.9380641000000001</c:v>
                </c:pt>
                <c:pt idx="2">
                  <c:v>0</c:v>
                </c:pt>
                <c:pt idx="3">
                  <c:v>5.4110873000000002</c:v>
                </c:pt>
                <c:pt idx="4">
                  <c:v>13.69</c:v>
                </c:pt>
                <c:pt idx="5">
                  <c:v>12.419999999999998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5-49FF-9309-D8DD12299E11}"/>
            </c:ext>
          </c:extLst>
        </c:ser>
        <c:ser>
          <c:idx val="1"/>
          <c:order val="1"/>
          <c:tx>
            <c:strRef>
              <c:f>Overall!$U$19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7316530312997724E-3"/>
                  <c:y val="1.3996081464541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9B0-BF90-E5255495D88B}"/>
                </c:ext>
              </c:extLst>
            </c:dLbl>
            <c:dLbl>
              <c:idx val="1"/>
              <c:layout>
                <c:manualLayout>
                  <c:x val="4.5600980007845314E-2"/>
                  <c:y val="2.25532329344160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10-46B9-96F5-373CCF9B7FCA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D-4202-8211-9D965529114A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Overall!$U$20:$U$25</c:f>
              <c:numCache>
                <c:formatCode>_("₹"* #,##0.00_);_("₹"* \(#,##0.00\);_("₹"* "-"??_);_(@_)</c:formatCode>
                <c:ptCount val="6"/>
                <c:pt idx="0">
                  <c:v>7.0392804246190455</c:v>
                </c:pt>
                <c:pt idx="1">
                  <c:v>0.90137076190476173</c:v>
                </c:pt>
                <c:pt idx="2">
                  <c:v>0.36691961904761905</c:v>
                </c:pt>
                <c:pt idx="3">
                  <c:v>5.5059146142857145</c:v>
                </c:pt>
                <c:pt idx="4">
                  <c:v>6.7300527095238092</c:v>
                </c:pt>
                <c:pt idx="5">
                  <c:v>8.2525539047619052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5-49FF-9309-D8DD12299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Own Contribution (OCR) 
- Unregistered </c:v>
                      </c:pt>
                      <c:pt idx="2">
                        <c:v>OCR - 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0.5165683353142313</c:v>
                      </c:pt>
                      <c:pt idx="1">
                        <c:v>0.46508820936560441</c:v>
                      </c:pt>
                      <c:pt idx="2">
                        <c:v>0</c:v>
                      </c:pt>
                      <c:pt idx="3">
                        <c:v>1.017524632117045</c:v>
                      </c:pt>
                      <c:pt idx="4">
                        <c:v>0.49160355803680128</c:v>
                      </c:pt>
                      <c:pt idx="5">
                        <c:v>0.66445683613219864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D5-49FF-9309-D8DD12299E11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>
                <a:solidFill>
                  <a:sysClr val="windowText" lastClr="000000"/>
                </a:solidFill>
              </a:rPr>
              <a:t>Current Month Forecast (In Cr.)</a:t>
            </a:r>
          </a:p>
        </c:rich>
      </c:tx>
      <c:layout>
        <c:manualLayout>
          <c:xMode val="edge"/>
          <c:yMode val="edge"/>
          <c:x val="0.19602277425483863"/>
          <c:y val="2.3333415049954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081558096045961E-2"/>
          <c:y val="0.10927217147267959"/>
          <c:w val="0.91583688380790806"/>
          <c:h val="0.77649075006517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- Testing'!$W$13</c:f>
              <c:strCache>
                <c:ptCount val="1"/>
                <c:pt idx="0">
                  <c:v>Customer Committed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Testing'!$V$14:$V$19</c15:sqref>
                  </c15:fullRef>
                </c:ext>
              </c:extLst>
              <c:f>'Overall - Testing'!$V$15:$V$17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Testing'!$W$14:$W$19</c15:sqref>
                  </c15:fullRef>
                </c:ext>
              </c:extLst>
              <c:f>'Overall - Testing'!$W$15:$W$17</c:f>
              <c:numCache>
                <c:formatCode>"₹"\ #,##0.00</c:formatCode>
                <c:ptCount val="3"/>
                <c:pt idx="0">
                  <c:v>0.66840440000000001</c:v>
                </c:pt>
                <c:pt idx="1">
                  <c:v>2.8459080999999999</c:v>
                </c:pt>
                <c:pt idx="2">
                  <c:v>3.0478016999999999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C-483B-9A9C-88527FB02E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025520"/>
        <c:axId val="446026000"/>
      </c:barChart>
      <c:catAx>
        <c:axId val="4460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026000"/>
        <c:crosses val="autoZero"/>
        <c:auto val="1"/>
        <c:lblAlgn val="ctr"/>
        <c:lblOffset val="100"/>
        <c:noMultiLvlLbl val="0"/>
      </c:catAx>
      <c:valAx>
        <c:axId val="446026000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4460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Outstanding Collection Ageing (In Cr.)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'Overall - Testing'!$AJ$13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Testing'!$AD$14:$AD$21</c15:sqref>
                  </c15:fullRef>
                </c:ext>
              </c:extLst>
              <c:f>'Overall - Testing'!$AD$14:$AD$20</c:f>
              <c:strCache>
                <c:ptCount val="7"/>
                <c:pt idx="0">
                  <c:v>&lt;= 30 days
Outstanding</c:v>
                </c:pt>
                <c:pt idx="1">
                  <c:v>31 to 60 days
Outstanding</c:v>
                </c:pt>
                <c:pt idx="2">
                  <c:v>61 to 90 days
Outstanding</c:v>
                </c:pt>
                <c:pt idx="3">
                  <c:v>91 to 120 days
Outstanding</c:v>
                </c:pt>
                <c:pt idx="4">
                  <c:v>121 - 150 days
Outstanding</c:v>
                </c:pt>
                <c:pt idx="5">
                  <c:v>151 - 180 days
Outstanding</c:v>
                </c:pt>
                <c:pt idx="6">
                  <c:v> &gt; 180 days
Outstanding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Testing'!$AJ$14:$AJ$21</c15:sqref>
                  </c15:fullRef>
                </c:ext>
              </c:extLst>
              <c:f>'Overall - Testing'!$AJ$14:$AJ$20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7-4D56-9F75-F1181BC7FD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673231"/>
        <c:axId val="327674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- Testing'!$AE$13</c15:sqref>
                        </c15:formulaRef>
                      </c:ext>
                    </c:extLst>
                    <c:strCache>
                      <c:ptCount val="1"/>
                      <c:pt idx="0">
                        <c:v>Raghav Paradise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'Overall - Testing'!$AE$14:$AE$21</c15:sqref>
                        </c15:fullRef>
                        <c15:formulaRef>
                          <c15:sqref>'Overall - Testing'!$AE$14:$AE$20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D7-4D56-9F75-F1181BC7FD0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Testing'!$AF$13</c15:sqref>
                        </c15:formulaRef>
                      </c:ext>
                    </c:extLst>
                    <c:strCache>
                      <c:ptCount val="1"/>
                      <c:pt idx="0">
                        <c:v>Raghav Parijat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Testing'!$AF$14:$AF$21</c15:sqref>
                        </c15:fullRef>
                        <c15:formulaRef>
                          <c15:sqref>'Overall - Testing'!$AF$14:$AF$20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0D7-4D56-9F75-F1181BC7FD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Testing'!$AG$13</c15:sqref>
                        </c15:formulaRef>
                      </c:ext>
                    </c:extLst>
                    <c:strCache>
                      <c:ptCount val="1"/>
                      <c:pt idx="0">
                        <c:v>Raghav Nova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Testing'!$AG$14:$AG$21</c15:sqref>
                        </c15:fullRef>
                        <c15:formulaRef>
                          <c15:sqref>'Overall - Testing'!$AG$14:$AG$20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0D7-4D56-9F75-F1181BC7FD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Testing'!$AH$13</c15:sqref>
                        </c15:formulaRef>
                      </c:ext>
                    </c:extLst>
                    <c:strCache>
                      <c:ptCount val="1"/>
                      <c:pt idx="0">
                        <c:v>Raghav Amara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Testing'!$AH$14:$AH$21</c15:sqref>
                        </c15:fullRef>
                        <c15:formulaRef>
                          <c15:sqref>'Overall - Testing'!$AH$14:$AH$20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0D7-4D56-9F75-F1181BC7FD0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Testing'!$AI$13</c15:sqref>
                        </c15:formulaRef>
                      </c:ext>
                    </c:extLst>
                    <c:strCache>
                      <c:ptCount val="1"/>
                      <c:pt idx="0">
                        <c:v>Raghav Marvel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Testing'!$AI$14:$AI$21</c15:sqref>
                        </c15:fullRef>
                        <c15:formulaRef>
                          <c15:sqref>'Overall - Testing'!$AI$14:$AI$20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D7-4D56-9F75-F1181BC7FD08}"/>
                  </c:ext>
                </c:extLst>
              </c15:ser>
            </c15:filteredBarSeries>
          </c:ext>
        </c:extLst>
      </c:barChart>
      <c:catAx>
        <c:axId val="32767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Ageing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4191"/>
        <c:crosses val="autoZero"/>
        <c:auto val="1"/>
        <c:lblAlgn val="ctr"/>
        <c:lblOffset val="100"/>
        <c:noMultiLvlLbl val="0"/>
      </c:catAx>
      <c:valAx>
        <c:axId val="32767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Amount (In Cr.)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 Apr'26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Overall_Draft!$L$20:$L$27</c:f>
              <c:strCache>
                <c:ptCount val="8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  <c:pt idx="7">
                  <c:v>Overall</c:v>
                </c:pt>
              </c:strCache>
            </c:strRef>
          </c:cat>
          <c:val>
            <c:numRef>
              <c:f>Overall_Draft!$M$20:$M$27</c:f>
              <c:numCache>
                <c:formatCode>_("₹"* #,##0.00_);_("₹"* \(#,##0.00\);_("₹"* "-"??_);_(@_)</c:formatCode>
                <c:ptCount val="8"/>
                <c:pt idx="0">
                  <c:v>6.0278847000000004</c:v>
                </c:pt>
                <c:pt idx="1">
                  <c:v>14.267345199999999</c:v>
                </c:pt>
                <c:pt idx="2">
                  <c:v>8.0769663999999999</c:v>
                </c:pt>
                <c:pt idx="3">
                  <c:v>7.2772421000000005</c:v>
                </c:pt>
                <c:pt idx="4">
                  <c:v>4.9720374999999999</c:v>
                </c:pt>
                <c:pt idx="5">
                  <c:v>0</c:v>
                </c:pt>
                <c:pt idx="6">
                  <c:v>4.2966185999999995</c:v>
                </c:pt>
                <c:pt idx="7">
                  <c:v>44.918094500000002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04-427B-98E3-825FF051CE66}"/>
            </c:ext>
          </c:extLst>
        </c:ser>
        <c:ser>
          <c:idx val="1"/>
          <c:order val="1"/>
          <c:tx>
            <c:strRef>
              <c:f>Overall_Draft!$N$19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Overall_Draft!$L$20:$L$27</c:f>
              <c:strCache>
                <c:ptCount val="8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  <c:pt idx="7">
                  <c:v>Overall</c:v>
                </c:pt>
              </c:strCache>
            </c:strRef>
          </c:cat>
          <c:val>
            <c:numRef>
              <c:f>Overall_Draft!$N$20:$N$27</c:f>
              <c:numCache>
                <c:formatCode>_("₹"* #,##0.00_);_("₹"* \(#,##0.00\);_("₹"* "-"??_);_(@_)</c:formatCode>
                <c:ptCount val="8"/>
                <c:pt idx="0">
                  <c:v>4.4100472000000002</c:v>
                </c:pt>
                <c:pt idx="1">
                  <c:v>8.6502189809523795</c:v>
                </c:pt>
                <c:pt idx="2">
                  <c:v>4.520920343666667</c:v>
                </c:pt>
                <c:pt idx="3">
                  <c:v>3.8847441904761904</c:v>
                </c:pt>
                <c:pt idx="4">
                  <c:v>4.0402514142857155</c:v>
                </c:pt>
                <c:pt idx="5">
                  <c:v>0</c:v>
                </c:pt>
                <c:pt idx="6">
                  <c:v>2.0216195238095236</c:v>
                </c:pt>
                <c:pt idx="7">
                  <c:v>27.527801653190476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04-427B-98E3-825FF051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ser>
          <c:idx val="2"/>
          <c:order val="2"/>
          <c:tx>
            <c:strRef>
              <c:f>Overall_Draft!$O$19</c:f>
              <c:strCache>
                <c:ptCount val="1"/>
                <c:pt idx="0">
                  <c:v>Achievement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Overall_Draft!$L$20:$L$27</c:f>
              <c:strCache>
                <c:ptCount val="8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  <c:pt idx="7">
                  <c:v>Overall</c:v>
                </c:pt>
              </c:strCache>
            </c:strRef>
          </c:cat>
          <c:val>
            <c:numRef>
              <c:f>Overall_Draft!$O$20:$O$27</c:f>
              <c:numCache>
                <c:formatCode>0.00%</c:formatCode>
                <c:ptCount val="8"/>
                <c:pt idx="0">
                  <c:v>0.73160775620011442</c:v>
                </c:pt>
                <c:pt idx="1">
                  <c:v>0.60629492450721523</c:v>
                </c:pt>
                <c:pt idx="2">
                  <c:v>0.55972999264509349</c:v>
                </c:pt>
                <c:pt idx="3">
                  <c:v>0.53382093615879433</c:v>
                </c:pt>
                <c:pt idx="4">
                  <c:v>0.81259471882215606</c:v>
                </c:pt>
                <c:pt idx="5">
                  <c:v>0</c:v>
                </c:pt>
                <c:pt idx="6">
                  <c:v>0.49157711948571864</c:v>
                </c:pt>
                <c:pt idx="7">
                  <c:v>0.61284437729633601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1004-427B-98E3-825FF051CE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/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0.00%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Apr'26</a:t>
            </a:r>
            <a:r>
              <a:rPr lang="en-IN" sz="2000" b="1" baseline="0">
                <a:solidFill>
                  <a:sysClr val="windowText" lastClr="000000"/>
                </a:solidFill>
              </a:rPr>
              <a:t>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Overall_Draft!$T$20:$T$25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Overall_Draft!$S$20:$S$25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2AE-4BBF-99A7-1AEF7DA9E294}"/>
            </c:ext>
          </c:extLst>
        </c:ser>
        <c:ser>
          <c:idx val="1"/>
          <c:order val="1"/>
          <c:tx>
            <c:strRef>
              <c:f>Overall_Draft!$U$19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Overall_Draft!$U$20:$U$25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Overall_Draft!$S$20:$S$25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2AE-4BBF-99A7-1AEF7DA9E294}"/>
            </c:ext>
          </c:extLst>
        </c:ser>
        <c:ser>
          <c:idx val="2"/>
          <c:order val="2"/>
          <c:tx>
            <c:strRef>
              <c:f>Overall_Draft!$V$19</c:f>
              <c:strCache>
                <c:ptCount val="1"/>
                <c:pt idx="0">
                  <c:v>Achievement %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Overall_Draft!$V$20:$V$25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Overall_Draft!$S$20:$S$25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2AE-4BBF-99A7-1AEF7DA9E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/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5</xdr:col>
      <xdr:colOff>102357</xdr:colOff>
      <xdr:row>7</xdr:row>
      <xdr:rowOff>164353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4530D1CB-EFB5-4FCA-0DDF-976361A24D7D}"/>
            </a:ext>
          </a:extLst>
        </xdr:cNvPr>
        <xdr:cNvSpPr/>
      </xdr:nvSpPr>
      <xdr:spPr>
        <a:xfrm>
          <a:off x="285749" y="636525"/>
          <a:ext cx="10126020" cy="5414652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226863</xdr:colOff>
      <xdr:row>1</xdr:row>
      <xdr:rowOff>44824</xdr:rowOff>
    </xdr:from>
    <xdr:to>
      <xdr:col>9</xdr:col>
      <xdr:colOff>136919</xdr:colOff>
      <xdr:row>7</xdr:row>
      <xdr:rowOff>175916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9ED87498-5A8D-4343-A5D0-49EC360DBEC1}"/>
            </a:ext>
          </a:extLst>
        </xdr:cNvPr>
        <xdr:cNvSpPr/>
      </xdr:nvSpPr>
      <xdr:spPr>
        <a:xfrm>
          <a:off x="10551216" y="642471"/>
          <a:ext cx="7186409" cy="54202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7</xdr:row>
      <xdr:rowOff>295275</xdr:rowOff>
    </xdr:from>
    <xdr:to>
      <xdr:col>4</xdr:col>
      <xdr:colOff>3333750</xdr:colOff>
      <xdr:row>25</xdr:row>
      <xdr:rowOff>85725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26EAFB8E-C18F-0307-D8AF-C80D7B0E993D}"/>
            </a:ext>
            <a:ext uri="{147F2762-F138-4A5C-976F-8EAC2B608ADB}">
              <a16:predDERef xmlns:a16="http://schemas.microsoft.com/office/drawing/2014/main" pred="{9ED87498-5A8D-4343-A5D0-49EC360D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3448050</xdr:colOff>
      <xdr:row>7</xdr:row>
      <xdr:rowOff>333375</xdr:rowOff>
    </xdr:from>
    <xdr:to>
      <xdr:col>9</xdr:col>
      <xdr:colOff>180975</xdr:colOff>
      <xdr:row>25</xdr:row>
      <xdr:rowOff>57150</xdr:rowOff>
    </xdr:to>
    <xdr:graphicFrame macro="">
      <xdr:nvGraphicFramePr>
        <xdr:cNvPr id="26" name="Chart 21">
          <a:extLst>
            <a:ext uri="{FF2B5EF4-FFF2-40B4-BE49-F238E27FC236}">
              <a16:creationId xmlns:a16="http://schemas.microsoft.com/office/drawing/2014/main" id="{0092C08C-8417-9032-FF61-6119B65C2509}"/>
            </a:ext>
            <a:ext uri="{147F2762-F138-4A5C-976F-8EAC2B608ADB}">
              <a16:predDERef xmlns:a16="http://schemas.microsoft.com/office/drawing/2014/main" pred="{26EAFB8E-C18F-0307-D8AF-C80D7B0E9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240153</xdr:colOff>
      <xdr:row>2</xdr:row>
      <xdr:rowOff>1214436</xdr:rowOff>
    </xdr:from>
    <xdr:to>
      <xdr:col>1</xdr:col>
      <xdr:colOff>1787966</xdr:colOff>
      <xdr:row>2</xdr:row>
      <xdr:rowOff>1612580</xdr:rowOff>
    </xdr:to>
    <xdr:sp macro="" textlink="">
      <xdr:nvSpPr>
        <xdr:cNvPr id="216" name="TextBox 1">
          <a:extLst>
            <a:ext uri="{FF2B5EF4-FFF2-40B4-BE49-F238E27FC236}">
              <a16:creationId xmlns:a16="http://schemas.microsoft.com/office/drawing/2014/main" id="{22FBC99E-A830-0642-6B19-2015736F25B3}"/>
            </a:ext>
          </a:extLst>
        </xdr:cNvPr>
        <xdr:cNvSpPr txBox="1"/>
      </xdr:nvSpPr>
      <xdr:spPr>
        <a:xfrm>
          <a:off x="677898" y="2430393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(Collection)</a:t>
          </a:r>
        </a:p>
      </xdr:txBody>
    </xdr:sp>
    <xdr:clientData/>
  </xdr:twoCellAnchor>
  <xdr:twoCellAnchor>
    <xdr:from>
      <xdr:col>1</xdr:col>
      <xdr:colOff>1497807</xdr:colOff>
      <xdr:row>2</xdr:row>
      <xdr:rowOff>1200152</xdr:rowOff>
    </xdr:from>
    <xdr:to>
      <xdr:col>1</xdr:col>
      <xdr:colOff>3045620</xdr:colOff>
      <xdr:row>2</xdr:row>
      <xdr:rowOff>1613536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323A4E19-57F3-40AE-9093-9FD07EADA6C6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  <xdr:twoCellAnchor>
    <xdr:from>
      <xdr:col>6</xdr:col>
      <xdr:colOff>692728</xdr:colOff>
      <xdr:row>2</xdr:row>
      <xdr:rowOff>1200150</xdr:rowOff>
    </xdr:from>
    <xdr:to>
      <xdr:col>8</xdr:col>
      <xdr:colOff>509589</xdr:colOff>
      <xdr:row>2</xdr:row>
      <xdr:rowOff>1551709</xdr:rowOff>
    </xdr:to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C40AEDD-DCF8-48C2-880A-ADD2B58112A9}"/>
            </a:ext>
          </a:extLst>
        </xdr:cNvPr>
        <xdr:cNvSpPr txBox="1"/>
      </xdr:nvSpPr>
      <xdr:spPr>
        <a:xfrm>
          <a:off x="10086110" y="2419350"/>
          <a:ext cx="1922752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8</xdr:col>
      <xdr:colOff>578643</xdr:colOff>
      <xdr:row>2</xdr:row>
      <xdr:rowOff>1197770</xdr:rowOff>
    </xdr:from>
    <xdr:to>
      <xdr:col>8</xdr:col>
      <xdr:colOff>2126456</xdr:colOff>
      <xdr:row>2</xdr:row>
      <xdr:rowOff>1611154</xdr:rowOff>
    </xdr:to>
    <xdr:sp macro="" textlink="">
      <xdr:nvSpPr>
        <xdr:cNvPr id="18" name="TextBox 10">
          <a:extLst>
            <a:ext uri="{FF2B5EF4-FFF2-40B4-BE49-F238E27FC236}">
              <a16:creationId xmlns:a16="http://schemas.microsoft.com/office/drawing/2014/main" id="{28FE03E0-F976-4908-9E20-F7AB5032B1D5}"/>
            </a:ext>
          </a:extLst>
        </xdr:cNvPr>
        <xdr:cNvSpPr txBox="1"/>
      </xdr:nvSpPr>
      <xdr:spPr>
        <a:xfrm>
          <a:off x="12091987" y="2424114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1491003</xdr:colOff>
      <xdr:row>2</xdr:row>
      <xdr:rowOff>1197965</xdr:rowOff>
    </xdr:from>
    <xdr:to>
      <xdr:col>1</xdr:col>
      <xdr:colOff>3038816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151717-4953-47DC-BB32-4A5D68D20BB4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446263</xdr:colOff>
      <xdr:row>11</xdr:row>
      <xdr:rowOff>45860</xdr:rowOff>
    </xdr:from>
    <xdr:to>
      <xdr:col>3</xdr:col>
      <xdr:colOff>846667</xdr:colOff>
      <xdr:row>16</xdr:row>
      <xdr:rowOff>28222</xdr:rowOff>
    </xdr:to>
    <xdr:sp macro="" textlink="">
      <xdr:nvSpPr>
        <xdr:cNvPr id="569" name="Oval 7">
          <a:extLst>
            <a:ext uri="{FF2B5EF4-FFF2-40B4-BE49-F238E27FC236}">
              <a16:creationId xmlns:a16="http://schemas.microsoft.com/office/drawing/2014/main" id="{101FCDE1-A6F8-39EE-B219-CC624BA15912}"/>
            </a:ext>
          </a:extLst>
        </xdr:cNvPr>
        <xdr:cNvSpPr/>
      </xdr:nvSpPr>
      <xdr:spPr>
        <a:xfrm>
          <a:off x="883707" y="5309304"/>
          <a:ext cx="2404182" cy="1943807"/>
        </a:xfrm>
        <a:prstGeom prst="hex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296333</xdr:colOff>
      <xdr:row>42</xdr:row>
      <xdr:rowOff>136340</xdr:rowOff>
    </xdr:from>
    <xdr:to>
      <xdr:col>10</xdr:col>
      <xdr:colOff>85306</xdr:colOff>
      <xdr:row>65</xdr:row>
      <xdr:rowOff>144367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02048-CC28-4F48-B358-8FD23D3D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285749</xdr:colOff>
      <xdr:row>1</xdr:row>
      <xdr:rowOff>54428</xdr:rowOff>
    </xdr:from>
    <xdr:to>
      <xdr:col>6</xdr:col>
      <xdr:colOff>102357</xdr:colOff>
      <xdr:row>7</xdr:row>
      <xdr:rowOff>99600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57B49D-FF53-4937-8E76-5ABF577E6E26}"/>
            </a:ext>
          </a:extLst>
        </xdr:cNvPr>
        <xdr:cNvSpPr/>
      </xdr:nvSpPr>
      <xdr:spPr>
        <a:xfrm>
          <a:off x="285749" y="778328"/>
          <a:ext cx="6263128" cy="3580852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234462</xdr:colOff>
      <xdr:row>1</xdr:row>
      <xdr:rowOff>54428</xdr:rowOff>
    </xdr:from>
    <xdr:to>
      <xdr:col>10</xdr:col>
      <xdr:colOff>113731</xdr:colOff>
      <xdr:row>7</xdr:row>
      <xdr:rowOff>102358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5D4E10-B124-40DA-9D5F-3008850AFE1A}"/>
            </a:ext>
          </a:extLst>
        </xdr:cNvPr>
        <xdr:cNvSpPr/>
      </xdr:nvSpPr>
      <xdr:spPr>
        <a:xfrm>
          <a:off x="6680982" y="778328"/>
          <a:ext cx="4024549" cy="358361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248309</xdr:colOff>
      <xdr:row>66</xdr:row>
      <xdr:rowOff>82524</xdr:rowOff>
    </xdr:from>
    <xdr:to>
      <xdr:col>10</xdr:col>
      <xdr:colOff>70100</xdr:colOff>
      <xdr:row>84</xdr:row>
      <xdr:rowOff>86032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EC2F17-F4B8-429D-A8BA-549EF080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292651</xdr:colOff>
      <xdr:row>13</xdr:row>
      <xdr:rowOff>93255</xdr:rowOff>
    </xdr:from>
    <xdr:to>
      <xdr:col>3</xdr:col>
      <xdr:colOff>1164472</xdr:colOff>
      <xdr:row>13</xdr:row>
      <xdr:rowOff>115342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6867C5A-BE29-1B6D-83FB-5F4DAC31C6CA}"/>
            </a:ext>
          </a:extLst>
        </xdr:cNvPr>
        <xdr:cNvCxnSpPr/>
      </xdr:nvCxnSpPr>
      <xdr:spPr>
        <a:xfrm>
          <a:off x="292651" y="6259811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1539337</xdr:colOff>
      <xdr:row>8</xdr:row>
      <xdr:rowOff>377318</xdr:rowOff>
    </xdr:from>
    <xdr:to>
      <xdr:col>1</xdr:col>
      <xdr:colOff>1539337</xdr:colOff>
      <xdr:row>13</xdr:row>
      <xdr:rowOff>60124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E02C185-A4DA-3BDA-F3DC-E730532B5A8A}"/>
            </a:ext>
          </a:extLst>
        </xdr:cNvPr>
        <xdr:cNvCxnSpPr/>
      </xdr:nvCxnSpPr>
      <xdr:spPr>
        <a:xfrm>
          <a:off x="1976781" y="4906985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1314099</xdr:colOff>
      <xdr:row>14</xdr:row>
      <xdr:rowOff>54682</xdr:rowOff>
    </xdr:from>
    <xdr:to>
      <xdr:col>3</xdr:col>
      <xdr:colOff>155223</xdr:colOff>
      <xdr:row>16</xdr:row>
      <xdr:rowOff>153459</xdr:rowOff>
    </xdr:to>
    <xdr:sp macro="" textlink="$R$14">
      <xdr:nvSpPr>
        <xdr:cNvPr id="573" name="Rectangle 8">
          <a:extLst>
            <a:ext uri="{FF2B5EF4-FFF2-40B4-BE49-F238E27FC236}">
              <a16:creationId xmlns:a16="http://schemas.microsoft.com/office/drawing/2014/main" id="{F299625C-EFAB-E961-ECBE-D1179BB90A0E}"/>
            </a:ext>
          </a:extLst>
        </xdr:cNvPr>
        <xdr:cNvSpPr/>
      </xdr:nvSpPr>
      <xdr:spPr>
        <a:xfrm>
          <a:off x="1751543" y="6574015"/>
          <a:ext cx="84490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B299B3-C0A4-4A3D-84F2-377941A27C1E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₹9.20 </a:t>
          </a:fld>
          <a:endParaRPr lang="en-IN" sz="1400"/>
        </a:p>
      </xdr:txBody>
    </xdr:sp>
    <xdr:clientData/>
  </xdr:twoCellAnchor>
  <xdr:twoCellAnchor>
    <xdr:from>
      <xdr:col>1</xdr:col>
      <xdr:colOff>1338790</xdr:colOff>
      <xdr:row>14</xdr:row>
      <xdr:rowOff>283987</xdr:rowOff>
    </xdr:from>
    <xdr:to>
      <xdr:col>3</xdr:col>
      <xdr:colOff>633235</xdr:colOff>
      <xdr:row>16</xdr:row>
      <xdr:rowOff>24695</xdr:rowOff>
    </xdr:to>
    <xdr:sp macro="" textlink="$R$13">
      <xdr:nvSpPr>
        <xdr:cNvPr id="546" name="Rectangle 10">
          <a:extLst>
            <a:ext uri="{FF2B5EF4-FFF2-40B4-BE49-F238E27FC236}">
              <a16:creationId xmlns:a16="http://schemas.microsoft.com/office/drawing/2014/main" id="{9986C187-0565-59D9-4DF5-F48249E5E296}"/>
            </a:ext>
          </a:extLst>
        </xdr:cNvPr>
        <xdr:cNvSpPr/>
      </xdr:nvSpPr>
      <xdr:spPr>
        <a:xfrm>
          <a:off x="1776234" y="6803320"/>
          <a:ext cx="1298223" cy="446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1400"/>
        </a:p>
      </xdr:txBody>
    </xdr:sp>
    <xdr:clientData/>
  </xdr:twoCellAnchor>
  <xdr:twoCellAnchor>
    <xdr:from>
      <xdr:col>1</xdr:col>
      <xdr:colOff>1591733</xdr:colOff>
      <xdr:row>12</xdr:row>
      <xdr:rowOff>247649</xdr:rowOff>
    </xdr:from>
    <xdr:to>
      <xdr:col>3</xdr:col>
      <xdr:colOff>555625</xdr:colOff>
      <xdr:row>13</xdr:row>
      <xdr:rowOff>174625</xdr:rowOff>
    </xdr:to>
    <xdr:sp macro="" textlink="">
      <xdr:nvSpPr>
        <xdr:cNvPr id="571" name="Rectangle 13">
          <a:extLst>
            <a:ext uri="{FF2B5EF4-FFF2-40B4-BE49-F238E27FC236}">
              <a16:creationId xmlns:a16="http://schemas.microsoft.com/office/drawing/2014/main" id="{971E1970-4BA4-4076-8A97-2D3760A62D78}"/>
            </a:ext>
          </a:extLst>
        </xdr:cNvPr>
        <xdr:cNvSpPr/>
      </xdr:nvSpPr>
      <xdr:spPr>
        <a:xfrm>
          <a:off x="2020358" y="5831680"/>
          <a:ext cx="964142" cy="5341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Collectio</a:t>
          </a:r>
          <a:r>
            <a:rPr lang="en-US" sz="1400" b="1" baseline="0"/>
            <a:t>n </a:t>
          </a:r>
        </a:p>
        <a:p>
          <a:pPr algn="ctr"/>
          <a:r>
            <a:rPr lang="en-US" sz="1400" b="1" baseline="0"/>
            <a:t>MTD</a:t>
          </a:r>
          <a:endParaRPr lang="en-US" sz="1400" b="1"/>
        </a:p>
      </xdr:txBody>
    </xdr:sp>
    <xdr:clientData/>
  </xdr:twoCellAnchor>
  <xdr:twoCellAnchor>
    <xdr:from>
      <xdr:col>1</xdr:col>
      <xdr:colOff>1635826</xdr:colOff>
      <xdr:row>11</xdr:row>
      <xdr:rowOff>212368</xdr:rowOff>
    </xdr:from>
    <xdr:to>
      <xdr:col>3</xdr:col>
      <xdr:colOff>1452381</xdr:colOff>
      <xdr:row>13</xdr:row>
      <xdr:rowOff>127700</xdr:rowOff>
    </xdr:to>
    <xdr:sp macro="" textlink="$S$14">
      <xdr:nvSpPr>
        <xdr:cNvPr id="570" name="Rectangle 14">
          <a:extLst>
            <a:ext uri="{FF2B5EF4-FFF2-40B4-BE49-F238E27FC236}">
              <a16:creationId xmlns:a16="http://schemas.microsoft.com/office/drawing/2014/main" id="{41DF9E32-1BED-429E-8A08-0E1B12050FE8}"/>
            </a:ext>
          </a:extLst>
        </xdr:cNvPr>
        <xdr:cNvSpPr/>
      </xdr:nvSpPr>
      <xdr:spPr>
        <a:xfrm>
          <a:off x="2073270" y="5475812"/>
          <a:ext cx="1820333" cy="818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7121A1C-2CE5-4A56-AC0B-3CBC88A4816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₹1.48 </a:t>
          </a:fld>
          <a:endParaRPr lang="en-IN" sz="1400"/>
        </a:p>
      </xdr:txBody>
    </xdr:sp>
    <xdr:clientData/>
  </xdr:twoCellAnchor>
  <xdr:twoCellAnchor>
    <xdr:from>
      <xdr:col>1</xdr:col>
      <xdr:colOff>639938</xdr:colOff>
      <xdr:row>12</xdr:row>
      <xdr:rowOff>295981</xdr:rowOff>
    </xdr:from>
    <xdr:to>
      <xdr:col>3</xdr:col>
      <xdr:colOff>242359</xdr:colOff>
      <xdr:row>13</xdr:row>
      <xdr:rowOff>154870</xdr:rowOff>
    </xdr:to>
    <xdr:sp macro="" textlink="$U$13">
      <xdr:nvSpPr>
        <xdr:cNvPr id="572" name="Rectangle 15">
          <a:extLst>
            <a:ext uri="{FF2B5EF4-FFF2-40B4-BE49-F238E27FC236}">
              <a16:creationId xmlns:a16="http://schemas.microsoft.com/office/drawing/2014/main" id="{4C868FB8-A142-4826-852F-3B981F4F9C86}"/>
            </a:ext>
          </a:extLst>
        </xdr:cNvPr>
        <xdr:cNvSpPr/>
      </xdr:nvSpPr>
      <xdr:spPr>
        <a:xfrm>
          <a:off x="1068563" y="5880012"/>
          <a:ext cx="1602671" cy="466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1400"/>
        </a:p>
      </xdr:txBody>
    </xdr:sp>
    <xdr:clientData/>
  </xdr:twoCellAnchor>
  <xdr:twoCellAnchor>
    <xdr:from>
      <xdr:col>1</xdr:col>
      <xdr:colOff>721070</xdr:colOff>
      <xdr:row>11</xdr:row>
      <xdr:rowOff>283630</xdr:rowOff>
    </xdr:from>
    <xdr:to>
      <xdr:col>3</xdr:col>
      <xdr:colOff>541153</xdr:colOff>
      <xdr:row>13</xdr:row>
      <xdr:rowOff>193671</xdr:rowOff>
    </xdr:to>
    <xdr:sp macro="" textlink="$U$14">
      <xdr:nvSpPr>
        <xdr:cNvPr id="574" name="Rectangle 16">
          <a:extLst>
            <a:ext uri="{FF2B5EF4-FFF2-40B4-BE49-F238E27FC236}">
              <a16:creationId xmlns:a16="http://schemas.microsoft.com/office/drawing/2014/main" id="{FDB50655-BFD5-451A-A63C-3CC0B828382A}"/>
            </a:ext>
          </a:extLst>
        </xdr:cNvPr>
        <xdr:cNvSpPr/>
      </xdr:nvSpPr>
      <xdr:spPr>
        <a:xfrm>
          <a:off x="1149695" y="5570005"/>
          <a:ext cx="1820333" cy="8149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515550B-A815-4CEE-AF6C-7CA05E19BB9B}" type="TxLink">
            <a:rPr lang="en-US" sz="1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14111</xdr:colOff>
      <xdr:row>17</xdr:row>
      <xdr:rowOff>225777</xdr:rowOff>
    </xdr:from>
    <xdr:to>
      <xdr:col>3</xdr:col>
      <xdr:colOff>1199444</xdr:colOff>
      <xdr:row>20</xdr:row>
      <xdr:rowOff>42333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CCAA8C6-002F-05B2-785D-08799A210AEB}"/>
            </a:ext>
          </a:extLst>
        </xdr:cNvPr>
        <xdr:cNvSpPr txBox="1"/>
      </xdr:nvSpPr>
      <xdr:spPr>
        <a:xfrm>
          <a:off x="14111" y="7803444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Paradise</a:t>
          </a:r>
        </a:p>
      </xdr:txBody>
    </xdr:sp>
    <xdr:clientData/>
  </xdr:twoCellAnchor>
  <xdr:twoCellAnchor>
    <xdr:from>
      <xdr:col>6</xdr:col>
      <xdr:colOff>10428</xdr:colOff>
      <xdr:row>9</xdr:row>
      <xdr:rowOff>80984</xdr:rowOff>
    </xdr:from>
    <xdr:to>
      <xdr:col>9</xdr:col>
      <xdr:colOff>1254660</xdr:colOff>
      <xdr:row>18</xdr:row>
      <xdr:rowOff>79759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A8D6FF5-EFBD-43B1-A773-5E6879412F9A}"/>
            </a:ext>
          </a:extLst>
        </xdr:cNvPr>
        <xdr:cNvSpPr/>
      </xdr:nvSpPr>
      <xdr:spPr>
        <a:xfrm>
          <a:off x="6459206" y="5005762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120863</xdr:colOff>
      <xdr:row>13</xdr:row>
      <xdr:rowOff>255840</xdr:rowOff>
    </xdr:from>
    <xdr:to>
      <xdr:col>9</xdr:col>
      <xdr:colOff>978573</xdr:colOff>
      <xdr:row>13</xdr:row>
      <xdr:rowOff>277927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A62F818-8213-43ED-83AB-5A9168AB2E58}"/>
            </a:ext>
          </a:extLst>
        </xdr:cNvPr>
        <xdr:cNvCxnSpPr/>
      </xdr:nvCxnSpPr>
      <xdr:spPr>
        <a:xfrm>
          <a:off x="6569641" y="6422396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1466327</xdr:colOff>
      <xdr:row>9</xdr:row>
      <xdr:rowOff>144792</xdr:rowOff>
    </xdr:from>
    <xdr:to>
      <xdr:col>7</xdr:col>
      <xdr:colOff>1466327</xdr:colOff>
      <xdr:row>13</xdr:row>
      <xdr:rowOff>222709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96B30EB-18DD-44BA-8E7D-6528F7CE16D9}"/>
            </a:ext>
          </a:extLst>
        </xdr:cNvPr>
        <xdr:cNvCxnSpPr/>
      </xdr:nvCxnSpPr>
      <xdr:spPr>
        <a:xfrm>
          <a:off x="8253771" y="5069570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561990</xdr:colOff>
      <xdr:row>14</xdr:row>
      <xdr:rowOff>63809</xdr:rowOff>
    </xdr:from>
    <xdr:to>
      <xdr:col>9</xdr:col>
      <xdr:colOff>265656</xdr:colOff>
      <xdr:row>16</xdr:row>
      <xdr:rowOff>162586</xdr:rowOff>
    </xdr:to>
    <xdr:sp macro="" textlink="$R$15">
      <xdr:nvSpPr>
        <xdr:cNvPr id="151" name="Rectangle 21">
          <a:extLst>
            <a:ext uri="{FF2B5EF4-FFF2-40B4-BE49-F238E27FC236}">
              <a16:creationId xmlns:a16="http://schemas.microsoft.com/office/drawing/2014/main" id="{9FC8704B-FF3B-43CB-B613-3B370E7708DB}"/>
            </a:ext>
          </a:extLst>
        </xdr:cNvPr>
        <xdr:cNvSpPr/>
      </xdr:nvSpPr>
      <xdr:spPr>
        <a:xfrm>
          <a:off x="7744546" y="6583142"/>
          <a:ext cx="182033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FD05BEA-63F7-4F64-B8F1-A0EA2CEB09DC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₹9.20 </a:t>
          </a:fld>
          <a:endParaRPr lang="en-IN" sz="7200"/>
        </a:p>
      </xdr:txBody>
    </xdr:sp>
    <xdr:clientData/>
  </xdr:twoCellAnchor>
  <xdr:twoCellAnchor>
    <xdr:from>
      <xdr:col>7</xdr:col>
      <xdr:colOff>1055877</xdr:colOff>
      <xdr:row>16</xdr:row>
      <xdr:rowOff>21475</xdr:rowOff>
    </xdr:from>
    <xdr:to>
      <xdr:col>9</xdr:col>
      <xdr:colOff>237433</xdr:colOff>
      <xdr:row>17</xdr:row>
      <xdr:rowOff>134364</xdr:rowOff>
    </xdr:to>
    <xdr:sp macro="" textlink="$R$13">
      <xdr:nvSpPr>
        <xdr:cNvPr id="150" name="Rectangle 22">
          <a:extLst>
            <a:ext uri="{FF2B5EF4-FFF2-40B4-BE49-F238E27FC236}">
              <a16:creationId xmlns:a16="http://schemas.microsoft.com/office/drawing/2014/main" id="{ECC5FCF5-F8A3-4C94-918A-FB4F359B1217}"/>
            </a:ext>
          </a:extLst>
        </xdr:cNvPr>
        <xdr:cNvSpPr/>
      </xdr:nvSpPr>
      <xdr:spPr>
        <a:xfrm>
          <a:off x="8238433" y="7246364"/>
          <a:ext cx="1298222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7</xdr:col>
      <xdr:colOff>1645723</xdr:colOff>
      <xdr:row>12</xdr:row>
      <xdr:rowOff>441984</xdr:rowOff>
    </xdr:from>
    <xdr:to>
      <xdr:col>9</xdr:col>
      <xdr:colOff>1140546</xdr:colOff>
      <xdr:row>13</xdr:row>
      <xdr:rowOff>300873</xdr:rowOff>
    </xdr:to>
    <xdr:sp macro="" textlink="$S$13">
      <xdr:nvSpPr>
        <xdr:cNvPr id="24" name="Rectangle 23">
          <a:extLst>
            <a:ext uri="{FF2B5EF4-FFF2-40B4-BE49-F238E27FC236}">
              <a16:creationId xmlns:a16="http://schemas.microsoft.com/office/drawing/2014/main" id="{A32DFD11-7332-4659-BF4B-F8CA109F5B01}"/>
            </a:ext>
          </a:extLst>
        </xdr:cNvPr>
        <xdr:cNvSpPr/>
      </xdr:nvSpPr>
      <xdr:spPr>
        <a:xfrm>
          <a:off x="8433167" y="600176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1377608</xdr:colOff>
      <xdr:row>11</xdr:row>
      <xdr:rowOff>89203</xdr:rowOff>
    </xdr:from>
    <xdr:to>
      <xdr:col>9</xdr:col>
      <xdr:colOff>1081274</xdr:colOff>
      <xdr:row>12</xdr:row>
      <xdr:rowOff>597202</xdr:rowOff>
    </xdr:to>
    <xdr:sp macro="" textlink="$S$15">
      <xdr:nvSpPr>
        <xdr:cNvPr id="25" name="Rectangle 24">
          <a:extLst>
            <a:ext uri="{FF2B5EF4-FFF2-40B4-BE49-F238E27FC236}">
              <a16:creationId xmlns:a16="http://schemas.microsoft.com/office/drawing/2014/main" id="{EC6B7E9E-6F80-4435-9E4B-02FAF02800EB}"/>
            </a:ext>
          </a:extLst>
        </xdr:cNvPr>
        <xdr:cNvSpPr/>
      </xdr:nvSpPr>
      <xdr:spPr>
        <a:xfrm>
          <a:off x="8165052" y="5352647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75FC5E-56C0-4C9B-99F5-5AD7BEDC3201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₹1.48 </a:t>
          </a:fld>
          <a:endParaRPr lang="en-IN" sz="23900"/>
        </a:p>
      </xdr:txBody>
    </xdr:sp>
    <xdr:clientData/>
  </xdr:twoCellAnchor>
  <xdr:twoCellAnchor>
    <xdr:from>
      <xdr:col>6</xdr:col>
      <xdr:colOff>245900</xdr:colOff>
      <xdr:row>12</xdr:row>
      <xdr:rowOff>410941</xdr:rowOff>
    </xdr:from>
    <xdr:to>
      <xdr:col>7</xdr:col>
      <xdr:colOff>1518724</xdr:colOff>
      <xdr:row>13</xdr:row>
      <xdr:rowOff>269830</xdr:rowOff>
    </xdr:to>
    <xdr:sp macro="" textlink="$U$13">
      <xdr:nvSpPr>
        <xdr:cNvPr id="26" name="Rectangle 25">
          <a:extLst>
            <a:ext uri="{FF2B5EF4-FFF2-40B4-BE49-F238E27FC236}">
              <a16:creationId xmlns:a16="http://schemas.microsoft.com/office/drawing/2014/main" id="{79D8B796-9EC4-4D49-97CA-8B6A8FB38399}"/>
            </a:ext>
          </a:extLst>
        </xdr:cNvPr>
        <xdr:cNvSpPr/>
      </xdr:nvSpPr>
      <xdr:spPr>
        <a:xfrm>
          <a:off x="6694678" y="597071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76560</xdr:colOff>
      <xdr:row>11</xdr:row>
      <xdr:rowOff>86382</xdr:rowOff>
    </xdr:from>
    <xdr:to>
      <xdr:col>7</xdr:col>
      <xdr:colOff>1896893</xdr:colOff>
      <xdr:row>12</xdr:row>
      <xdr:rowOff>594381</xdr:rowOff>
    </xdr:to>
    <xdr:sp macro="" textlink="$U$15">
      <xdr:nvSpPr>
        <xdr:cNvPr id="27" name="Rectangle 26">
          <a:extLst>
            <a:ext uri="{FF2B5EF4-FFF2-40B4-BE49-F238E27FC236}">
              <a16:creationId xmlns:a16="http://schemas.microsoft.com/office/drawing/2014/main" id="{EE6641D1-B9D7-4AB4-AD30-80FBD5E3E011}"/>
            </a:ext>
          </a:extLst>
        </xdr:cNvPr>
        <xdr:cNvSpPr/>
      </xdr:nvSpPr>
      <xdr:spPr>
        <a:xfrm>
          <a:off x="6864004" y="5349826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C51B0C-D142-474A-BB41-1870C73205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176940</xdr:colOff>
      <xdr:row>22</xdr:row>
      <xdr:rowOff>106383</xdr:rowOff>
    </xdr:from>
    <xdr:to>
      <xdr:col>3</xdr:col>
      <xdr:colOff>1435283</xdr:colOff>
      <xdr:row>37</xdr:row>
      <xdr:rowOff>133380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8F38AB3-4DC5-4DE1-8189-063BDD825D26}"/>
            </a:ext>
          </a:extLst>
        </xdr:cNvPr>
        <xdr:cNvSpPr/>
      </xdr:nvSpPr>
      <xdr:spPr>
        <a:xfrm>
          <a:off x="176940" y="906693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287375</xdr:colOff>
      <xdr:row>28</xdr:row>
      <xdr:rowOff>182462</xdr:rowOff>
    </xdr:from>
    <xdr:to>
      <xdr:col>3</xdr:col>
      <xdr:colOff>1159196</xdr:colOff>
      <xdr:row>29</xdr:row>
      <xdr:rowOff>6993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5520C8-D9B5-4E4E-8CFF-F900F55C06D3}"/>
            </a:ext>
          </a:extLst>
        </xdr:cNvPr>
        <xdr:cNvCxnSpPr/>
      </xdr:nvCxnSpPr>
      <xdr:spPr>
        <a:xfrm>
          <a:off x="287375" y="1048357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1534061</xdr:colOff>
      <xdr:row>22</xdr:row>
      <xdr:rowOff>170191</xdr:rowOff>
    </xdr:from>
    <xdr:to>
      <xdr:col>1</xdr:col>
      <xdr:colOff>1534061</xdr:colOff>
      <xdr:row>28</xdr:row>
      <xdr:rowOff>149331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02C0C0-E290-49A8-8A84-4FB12E222201}"/>
            </a:ext>
          </a:extLst>
        </xdr:cNvPr>
        <xdr:cNvCxnSpPr/>
      </xdr:nvCxnSpPr>
      <xdr:spPr>
        <a:xfrm>
          <a:off x="1971505" y="913074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559169</xdr:colOff>
      <xdr:row>29</xdr:row>
      <xdr:rowOff>173874</xdr:rowOff>
    </xdr:from>
    <xdr:to>
      <xdr:col>3</xdr:col>
      <xdr:colOff>375724</xdr:colOff>
      <xdr:row>34</xdr:row>
      <xdr:rowOff>46874</xdr:rowOff>
    </xdr:to>
    <xdr:sp macro="" textlink="$R$17">
      <xdr:nvSpPr>
        <xdr:cNvPr id="181" name="Rectangle 30">
          <a:extLst>
            <a:ext uri="{FF2B5EF4-FFF2-40B4-BE49-F238E27FC236}">
              <a16:creationId xmlns:a16="http://schemas.microsoft.com/office/drawing/2014/main" id="{BF3F0A2E-408E-45A8-A6B9-DD896DD671B3}"/>
            </a:ext>
          </a:extLst>
        </xdr:cNvPr>
        <xdr:cNvSpPr/>
      </xdr:nvSpPr>
      <xdr:spPr>
        <a:xfrm>
          <a:off x="996613" y="10672541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C1F0449-B6C2-40EA-8515-561763EBE47B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₹0.02 </a:t>
          </a:fld>
          <a:endParaRPr lang="en-IN" sz="7200"/>
        </a:p>
      </xdr:txBody>
    </xdr:sp>
    <xdr:clientData/>
  </xdr:twoCellAnchor>
  <xdr:twoCellAnchor>
    <xdr:from>
      <xdr:col>1</xdr:col>
      <xdr:colOff>1053056</xdr:colOff>
      <xdr:row>33</xdr:row>
      <xdr:rowOff>75096</xdr:rowOff>
    </xdr:from>
    <xdr:to>
      <xdr:col>3</xdr:col>
      <xdr:colOff>347501</xdr:colOff>
      <xdr:row>36</xdr:row>
      <xdr:rowOff>32763</xdr:rowOff>
    </xdr:to>
    <xdr:sp macro="" textlink="$R$13">
      <xdr:nvSpPr>
        <xdr:cNvPr id="180" name="Rectangle 31">
          <a:extLst>
            <a:ext uri="{FF2B5EF4-FFF2-40B4-BE49-F238E27FC236}">
              <a16:creationId xmlns:a16="http://schemas.microsoft.com/office/drawing/2014/main" id="{13E24417-E961-4C0A-BEEB-3D907C54A43B}"/>
            </a:ext>
          </a:extLst>
        </xdr:cNvPr>
        <xdr:cNvSpPr/>
      </xdr:nvSpPr>
      <xdr:spPr>
        <a:xfrm>
          <a:off x="1490500" y="11335763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1</xdr:col>
      <xdr:colOff>1713457</xdr:colOff>
      <xdr:row>26</xdr:row>
      <xdr:rowOff>156939</xdr:rowOff>
    </xdr:from>
    <xdr:to>
      <xdr:col>3</xdr:col>
      <xdr:colOff>1321169</xdr:colOff>
      <xdr:row>29</xdr:row>
      <xdr:rowOff>29939</xdr:rowOff>
    </xdr:to>
    <xdr:sp macro="" textlink="$S$13">
      <xdr:nvSpPr>
        <xdr:cNvPr id="33" name="Rectangle 32">
          <a:extLst>
            <a:ext uri="{FF2B5EF4-FFF2-40B4-BE49-F238E27FC236}">
              <a16:creationId xmlns:a16="http://schemas.microsoft.com/office/drawing/2014/main" id="{1044C1A0-1AE0-4A7E-AB2F-F972877FD602}"/>
            </a:ext>
          </a:extLst>
        </xdr:cNvPr>
        <xdr:cNvSpPr/>
      </xdr:nvSpPr>
      <xdr:spPr>
        <a:xfrm>
          <a:off x="2150901" y="1006293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1</xdr:col>
      <xdr:colOff>1445342</xdr:colOff>
      <xdr:row>23</xdr:row>
      <xdr:rowOff>72268</xdr:rowOff>
    </xdr:from>
    <xdr:to>
      <xdr:col>3</xdr:col>
      <xdr:colOff>1261897</xdr:colOff>
      <xdr:row>27</xdr:row>
      <xdr:rowOff>114601</xdr:rowOff>
    </xdr:to>
    <xdr:sp macro="" textlink="$S$17">
      <xdr:nvSpPr>
        <xdr:cNvPr id="34" name="Rectangle 33">
          <a:extLst>
            <a:ext uri="{FF2B5EF4-FFF2-40B4-BE49-F238E27FC236}">
              <a16:creationId xmlns:a16="http://schemas.microsoft.com/office/drawing/2014/main" id="{4E55C4BB-2712-47F9-ADB6-B43D7112F81A}"/>
            </a:ext>
          </a:extLst>
        </xdr:cNvPr>
        <xdr:cNvSpPr/>
      </xdr:nvSpPr>
      <xdr:spPr>
        <a:xfrm>
          <a:off x="1882786" y="941382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69D553F-2F70-446C-AB2E-4EA81C0B8D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₹-   </a:t>
          </a:fld>
          <a:endParaRPr lang="en-IN" sz="23900"/>
        </a:p>
      </xdr:txBody>
    </xdr:sp>
    <xdr:clientData/>
  </xdr:twoCellAnchor>
  <xdr:twoCellAnchor>
    <xdr:from>
      <xdr:col>0</xdr:col>
      <xdr:colOff>412412</xdr:colOff>
      <xdr:row>26</xdr:row>
      <xdr:rowOff>125896</xdr:rowOff>
    </xdr:from>
    <xdr:to>
      <xdr:col>1</xdr:col>
      <xdr:colOff>1586458</xdr:colOff>
      <xdr:row>28</xdr:row>
      <xdr:rowOff>196452</xdr:rowOff>
    </xdr:to>
    <xdr:sp macro="" textlink="$U$13">
      <xdr:nvSpPr>
        <xdr:cNvPr id="35" name="Rectangle 34">
          <a:extLst>
            <a:ext uri="{FF2B5EF4-FFF2-40B4-BE49-F238E27FC236}">
              <a16:creationId xmlns:a16="http://schemas.microsoft.com/office/drawing/2014/main" id="{D1E707D1-9896-4929-98B2-0032880D187F}"/>
            </a:ext>
          </a:extLst>
        </xdr:cNvPr>
        <xdr:cNvSpPr/>
      </xdr:nvSpPr>
      <xdr:spPr>
        <a:xfrm>
          <a:off x="412412" y="1003189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1</xdr:col>
      <xdr:colOff>144294</xdr:colOff>
      <xdr:row>23</xdr:row>
      <xdr:rowOff>69447</xdr:rowOff>
    </xdr:from>
    <xdr:to>
      <xdr:col>2</xdr:col>
      <xdr:colOff>186627</xdr:colOff>
      <xdr:row>27</xdr:row>
      <xdr:rowOff>111780</xdr:rowOff>
    </xdr:to>
    <xdr:sp macro="" textlink="$U$17">
      <xdr:nvSpPr>
        <xdr:cNvPr id="36" name="Rectangle 35">
          <a:extLst>
            <a:ext uri="{FF2B5EF4-FFF2-40B4-BE49-F238E27FC236}">
              <a16:creationId xmlns:a16="http://schemas.microsoft.com/office/drawing/2014/main" id="{E2C3C46C-E3F0-42FF-8276-FE5A3D78E5ED}"/>
            </a:ext>
          </a:extLst>
        </xdr:cNvPr>
        <xdr:cNvSpPr/>
      </xdr:nvSpPr>
      <xdr:spPr>
        <a:xfrm>
          <a:off x="581738" y="941100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B85F2A1-F37B-442A-AAB2-BAE62315C1FB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1063118</xdr:colOff>
      <xdr:row>16</xdr:row>
      <xdr:rowOff>33006</xdr:rowOff>
    </xdr:from>
    <xdr:to>
      <xdr:col>7</xdr:col>
      <xdr:colOff>416461</xdr:colOff>
      <xdr:row>27</xdr:row>
      <xdr:rowOff>158780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05F281A-8257-4165-8E02-1C5BAD6F0D8C}"/>
            </a:ext>
          </a:extLst>
        </xdr:cNvPr>
        <xdr:cNvSpPr/>
      </xdr:nvSpPr>
      <xdr:spPr>
        <a:xfrm>
          <a:off x="3504340" y="7257895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1173553</xdr:colOff>
      <xdr:row>20</xdr:row>
      <xdr:rowOff>66751</xdr:rowOff>
    </xdr:from>
    <xdr:to>
      <xdr:col>7</xdr:col>
      <xdr:colOff>140374</xdr:colOff>
      <xdr:row>20</xdr:row>
      <xdr:rowOff>88838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33B4051-C96E-4110-9D06-7AD408DC8535}"/>
            </a:ext>
          </a:extLst>
        </xdr:cNvPr>
        <xdr:cNvCxnSpPr/>
      </xdr:nvCxnSpPr>
      <xdr:spPr>
        <a:xfrm>
          <a:off x="3614775" y="8674529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684572</xdr:colOff>
      <xdr:row>16</xdr:row>
      <xdr:rowOff>96814</xdr:rowOff>
    </xdr:from>
    <xdr:to>
      <xdr:col>5</xdr:col>
      <xdr:colOff>684572</xdr:colOff>
      <xdr:row>20</xdr:row>
      <xdr:rowOff>33620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DDDB356-A690-4215-BF1F-EB241E54A815}"/>
            </a:ext>
          </a:extLst>
        </xdr:cNvPr>
        <xdr:cNvCxnSpPr/>
      </xdr:nvCxnSpPr>
      <xdr:spPr>
        <a:xfrm>
          <a:off x="5298905" y="7321703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2023901</xdr:colOff>
      <xdr:row>22</xdr:row>
      <xdr:rowOff>1718</xdr:rowOff>
    </xdr:from>
    <xdr:to>
      <xdr:col>5</xdr:col>
      <xdr:colOff>1671123</xdr:colOff>
      <xdr:row>25</xdr:row>
      <xdr:rowOff>58163</xdr:rowOff>
    </xdr:to>
    <xdr:sp macro="" textlink="$R$16">
      <xdr:nvSpPr>
        <xdr:cNvPr id="90" name="Rectangle 39">
          <a:extLst>
            <a:ext uri="{FF2B5EF4-FFF2-40B4-BE49-F238E27FC236}">
              <a16:creationId xmlns:a16="http://schemas.microsoft.com/office/drawing/2014/main" id="{7B208F85-0F72-40F8-8D2A-EDD80B17CB97}"/>
            </a:ext>
          </a:extLst>
        </xdr:cNvPr>
        <xdr:cNvSpPr/>
      </xdr:nvSpPr>
      <xdr:spPr>
        <a:xfrm>
          <a:off x="4465123" y="896227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2B8E81C-9129-435A-B912-3588D5575F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₹3.53 </a:t>
          </a:fld>
          <a:endParaRPr lang="en-IN" sz="7200"/>
        </a:p>
      </xdr:txBody>
    </xdr:sp>
    <xdr:clientData/>
  </xdr:twoCellAnchor>
  <xdr:twoCellAnchor>
    <xdr:from>
      <xdr:col>5</xdr:col>
      <xdr:colOff>344677</xdr:colOff>
      <xdr:row>24</xdr:row>
      <xdr:rowOff>114607</xdr:rowOff>
    </xdr:from>
    <xdr:to>
      <xdr:col>5</xdr:col>
      <xdr:colOff>1642900</xdr:colOff>
      <xdr:row>26</xdr:row>
      <xdr:rowOff>185163</xdr:rowOff>
    </xdr:to>
    <xdr:sp macro="" textlink="$R$13">
      <xdr:nvSpPr>
        <xdr:cNvPr id="91" name="Rectangle 40">
          <a:extLst>
            <a:ext uri="{FF2B5EF4-FFF2-40B4-BE49-F238E27FC236}">
              <a16:creationId xmlns:a16="http://schemas.microsoft.com/office/drawing/2014/main" id="{6E50C382-D350-4DFE-861C-49467DE6F2B5}"/>
            </a:ext>
          </a:extLst>
        </xdr:cNvPr>
        <xdr:cNvSpPr/>
      </xdr:nvSpPr>
      <xdr:spPr>
        <a:xfrm>
          <a:off x="4959010" y="9625496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5</xdr:col>
      <xdr:colOff>863968</xdr:colOff>
      <xdr:row>18</xdr:row>
      <xdr:rowOff>323451</xdr:rowOff>
    </xdr:from>
    <xdr:to>
      <xdr:col>7</xdr:col>
      <xdr:colOff>302347</xdr:colOff>
      <xdr:row>20</xdr:row>
      <xdr:rowOff>111784</xdr:rowOff>
    </xdr:to>
    <xdr:sp macro="" textlink="$S$13">
      <xdr:nvSpPr>
        <xdr:cNvPr id="42" name="Rectangle 41">
          <a:extLst>
            <a:ext uri="{FF2B5EF4-FFF2-40B4-BE49-F238E27FC236}">
              <a16:creationId xmlns:a16="http://schemas.microsoft.com/office/drawing/2014/main" id="{B08BB736-BE7D-4DC9-A5FD-350BC644CFAB}"/>
            </a:ext>
          </a:extLst>
        </xdr:cNvPr>
        <xdr:cNvSpPr/>
      </xdr:nvSpPr>
      <xdr:spPr>
        <a:xfrm>
          <a:off x="5478301" y="8253895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5</xdr:col>
      <xdr:colOff>595853</xdr:colOff>
      <xdr:row>17</xdr:row>
      <xdr:rowOff>27113</xdr:rowOff>
    </xdr:from>
    <xdr:to>
      <xdr:col>7</xdr:col>
      <xdr:colOff>243075</xdr:colOff>
      <xdr:row>19</xdr:row>
      <xdr:rowOff>140002</xdr:rowOff>
    </xdr:to>
    <xdr:sp macro="" textlink="$S$16">
      <xdr:nvSpPr>
        <xdr:cNvPr id="43" name="Rectangle 42">
          <a:extLst>
            <a:ext uri="{FF2B5EF4-FFF2-40B4-BE49-F238E27FC236}">
              <a16:creationId xmlns:a16="http://schemas.microsoft.com/office/drawing/2014/main" id="{E40DE0AC-038A-4B97-8C7B-A82AFA5AB450}"/>
            </a:ext>
          </a:extLst>
        </xdr:cNvPr>
        <xdr:cNvSpPr/>
      </xdr:nvSpPr>
      <xdr:spPr>
        <a:xfrm>
          <a:off x="5210186" y="7604780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5CC5E6B-C544-4E01-8E41-5E8A0164B7D2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₹2.31 </a:t>
          </a:fld>
          <a:endParaRPr lang="en-IN" sz="23900"/>
        </a:p>
      </xdr:txBody>
    </xdr:sp>
    <xdr:clientData/>
  </xdr:twoCellAnchor>
  <xdr:twoCellAnchor>
    <xdr:from>
      <xdr:col>3</xdr:col>
      <xdr:colOff>1298590</xdr:colOff>
      <xdr:row>18</xdr:row>
      <xdr:rowOff>292408</xdr:rowOff>
    </xdr:from>
    <xdr:to>
      <xdr:col>5</xdr:col>
      <xdr:colOff>736969</xdr:colOff>
      <xdr:row>20</xdr:row>
      <xdr:rowOff>80741</xdr:rowOff>
    </xdr:to>
    <xdr:sp macro="" textlink="$U$13">
      <xdr:nvSpPr>
        <xdr:cNvPr id="44" name="Rectangle 43">
          <a:extLst>
            <a:ext uri="{FF2B5EF4-FFF2-40B4-BE49-F238E27FC236}">
              <a16:creationId xmlns:a16="http://schemas.microsoft.com/office/drawing/2014/main" id="{378BFA9E-940D-4F97-8549-C2187758ECFB}"/>
            </a:ext>
          </a:extLst>
        </xdr:cNvPr>
        <xdr:cNvSpPr/>
      </xdr:nvSpPr>
      <xdr:spPr>
        <a:xfrm>
          <a:off x="3739812" y="822285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3</xdr:col>
      <xdr:colOff>1467916</xdr:colOff>
      <xdr:row>17</xdr:row>
      <xdr:rowOff>24292</xdr:rowOff>
    </xdr:from>
    <xdr:to>
      <xdr:col>5</xdr:col>
      <xdr:colOff>1115138</xdr:colOff>
      <xdr:row>19</xdr:row>
      <xdr:rowOff>137181</xdr:rowOff>
    </xdr:to>
    <xdr:sp macro="" textlink="$U$16">
      <xdr:nvSpPr>
        <xdr:cNvPr id="45" name="Rectangle 44">
          <a:extLst>
            <a:ext uri="{FF2B5EF4-FFF2-40B4-BE49-F238E27FC236}">
              <a16:creationId xmlns:a16="http://schemas.microsoft.com/office/drawing/2014/main" id="{D3B4B366-2824-4616-9619-12A05CACE490}"/>
            </a:ext>
          </a:extLst>
        </xdr:cNvPr>
        <xdr:cNvSpPr/>
      </xdr:nvSpPr>
      <xdr:spPr>
        <a:xfrm>
          <a:off x="3909138" y="7601959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2F840EC-D98B-4E8C-9B9C-0D3EBFF6C7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46.0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128963</xdr:colOff>
      <xdr:row>22</xdr:row>
      <xdr:rowOff>143073</xdr:rowOff>
    </xdr:from>
    <xdr:to>
      <xdr:col>10</xdr:col>
      <xdr:colOff>18528</xdr:colOff>
      <xdr:row>38</xdr:row>
      <xdr:rowOff>737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7BDEF3D-6B50-4709-9790-A90930189271}"/>
            </a:ext>
          </a:extLst>
        </xdr:cNvPr>
        <xdr:cNvSpPr/>
      </xdr:nvSpPr>
      <xdr:spPr>
        <a:xfrm>
          <a:off x="6916407" y="910362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239398</xdr:colOff>
      <xdr:row>29</xdr:row>
      <xdr:rowOff>21596</xdr:rowOff>
    </xdr:from>
    <xdr:to>
      <xdr:col>9</xdr:col>
      <xdr:colOff>1435774</xdr:colOff>
      <xdr:row>29</xdr:row>
      <xdr:rowOff>43683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F9335DB-87F7-496C-BF7D-7D228B4682D0}"/>
            </a:ext>
          </a:extLst>
        </xdr:cNvPr>
        <xdr:cNvCxnSpPr/>
      </xdr:nvCxnSpPr>
      <xdr:spPr>
        <a:xfrm>
          <a:off x="7026842" y="1052026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1923528</xdr:colOff>
      <xdr:row>22</xdr:row>
      <xdr:rowOff>206881</xdr:rowOff>
    </xdr:from>
    <xdr:to>
      <xdr:col>7</xdr:col>
      <xdr:colOff>1923528</xdr:colOff>
      <xdr:row>28</xdr:row>
      <xdr:rowOff>186021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4DA90C5-43B7-47A5-B09D-7FD57DE6077C}"/>
            </a:ext>
          </a:extLst>
        </xdr:cNvPr>
        <xdr:cNvCxnSpPr/>
      </xdr:nvCxnSpPr>
      <xdr:spPr>
        <a:xfrm>
          <a:off x="8710972" y="916743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892192</xdr:colOff>
      <xdr:row>31</xdr:row>
      <xdr:rowOff>13007</xdr:rowOff>
    </xdr:from>
    <xdr:to>
      <xdr:col>9</xdr:col>
      <xdr:colOff>595858</xdr:colOff>
      <xdr:row>35</xdr:row>
      <xdr:rowOff>111785</xdr:rowOff>
    </xdr:to>
    <xdr:sp macro="" textlink="$R$18">
      <xdr:nvSpPr>
        <xdr:cNvPr id="49" name="Rectangle 48">
          <a:extLst>
            <a:ext uri="{FF2B5EF4-FFF2-40B4-BE49-F238E27FC236}">
              <a16:creationId xmlns:a16="http://schemas.microsoft.com/office/drawing/2014/main" id="{166EECD9-6C63-4536-8127-B3FBD0AF00AF}"/>
            </a:ext>
          </a:extLst>
        </xdr:cNvPr>
        <xdr:cNvSpPr/>
      </xdr:nvSpPr>
      <xdr:spPr>
        <a:xfrm>
          <a:off x="7679636" y="10906785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86A6C2-E580-4BB3-9979-9DDCE47E9096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₹0.32 </a:t>
          </a:fld>
          <a:endParaRPr lang="en-IN" sz="7200"/>
        </a:p>
      </xdr:txBody>
    </xdr:sp>
    <xdr:clientData/>
  </xdr:twoCellAnchor>
  <xdr:twoCellAnchor>
    <xdr:from>
      <xdr:col>7</xdr:col>
      <xdr:colOff>1386079</xdr:colOff>
      <xdr:row>34</xdr:row>
      <xdr:rowOff>140007</xdr:rowOff>
    </xdr:from>
    <xdr:to>
      <xdr:col>9</xdr:col>
      <xdr:colOff>567635</xdr:colOff>
      <xdr:row>37</xdr:row>
      <xdr:rowOff>97674</xdr:rowOff>
    </xdr:to>
    <xdr:sp macro="" textlink="$R$13">
      <xdr:nvSpPr>
        <xdr:cNvPr id="50" name="Rectangle 49">
          <a:extLst>
            <a:ext uri="{FF2B5EF4-FFF2-40B4-BE49-F238E27FC236}">
              <a16:creationId xmlns:a16="http://schemas.microsoft.com/office/drawing/2014/main" id="{6C40F543-E72F-42A7-B76D-CD30DB7F6571}"/>
            </a:ext>
          </a:extLst>
        </xdr:cNvPr>
        <xdr:cNvSpPr/>
      </xdr:nvSpPr>
      <xdr:spPr>
        <a:xfrm>
          <a:off x="8173523" y="11570007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8</xdr:col>
      <xdr:colOff>85035</xdr:colOff>
      <xdr:row>26</xdr:row>
      <xdr:rowOff>193629</xdr:rowOff>
    </xdr:from>
    <xdr:to>
      <xdr:col>9</xdr:col>
      <xdr:colOff>1597747</xdr:colOff>
      <xdr:row>29</xdr:row>
      <xdr:rowOff>66629</xdr:rowOff>
    </xdr:to>
    <xdr:sp macro="" textlink="$S$13">
      <xdr:nvSpPr>
        <xdr:cNvPr id="51" name="Rectangle 50">
          <a:extLst>
            <a:ext uri="{FF2B5EF4-FFF2-40B4-BE49-F238E27FC236}">
              <a16:creationId xmlns:a16="http://schemas.microsoft.com/office/drawing/2014/main" id="{87DD5D65-7298-4EF8-AD2D-3DC3165E0137}"/>
            </a:ext>
          </a:extLst>
        </xdr:cNvPr>
        <xdr:cNvSpPr/>
      </xdr:nvSpPr>
      <xdr:spPr>
        <a:xfrm>
          <a:off x="8890368" y="1009962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1834809</xdr:colOff>
      <xdr:row>23</xdr:row>
      <xdr:rowOff>108958</xdr:rowOff>
    </xdr:from>
    <xdr:to>
      <xdr:col>9</xdr:col>
      <xdr:colOff>1538475</xdr:colOff>
      <xdr:row>27</xdr:row>
      <xdr:rowOff>151291</xdr:rowOff>
    </xdr:to>
    <xdr:sp macro="" textlink="$S$18">
      <xdr:nvSpPr>
        <xdr:cNvPr id="52" name="Rectangle 51">
          <a:extLst>
            <a:ext uri="{FF2B5EF4-FFF2-40B4-BE49-F238E27FC236}">
              <a16:creationId xmlns:a16="http://schemas.microsoft.com/office/drawing/2014/main" id="{3DBC965D-6023-4E9F-80ED-6814EFFB5C5D}"/>
            </a:ext>
          </a:extLst>
        </xdr:cNvPr>
        <xdr:cNvSpPr/>
      </xdr:nvSpPr>
      <xdr:spPr>
        <a:xfrm>
          <a:off x="8622253" y="945051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F9338A8-B769-4E6C-B879-ADFC2914EADA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₹0.25 </a:t>
          </a:fld>
          <a:endParaRPr lang="en-IN" sz="23900"/>
        </a:p>
      </xdr:txBody>
    </xdr:sp>
    <xdr:clientData/>
  </xdr:twoCellAnchor>
  <xdr:twoCellAnchor>
    <xdr:from>
      <xdr:col>7</xdr:col>
      <xdr:colOff>364435</xdr:colOff>
      <xdr:row>26</xdr:row>
      <xdr:rowOff>162586</xdr:rowOff>
    </xdr:from>
    <xdr:to>
      <xdr:col>7</xdr:col>
      <xdr:colOff>1975925</xdr:colOff>
      <xdr:row>29</xdr:row>
      <xdr:rowOff>35586</xdr:rowOff>
    </xdr:to>
    <xdr:sp macro="" textlink="$U$13">
      <xdr:nvSpPr>
        <xdr:cNvPr id="53" name="Rectangle 52">
          <a:extLst>
            <a:ext uri="{FF2B5EF4-FFF2-40B4-BE49-F238E27FC236}">
              <a16:creationId xmlns:a16="http://schemas.microsoft.com/office/drawing/2014/main" id="{23924679-94EC-4A7C-BE87-FF30288B874C}"/>
            </a:ext>
          </a:extLst>
        </xdr:cNvPr>
        <xdr:cNvSpPr/>
      </xdr:nvSpPr>
      <xdr:spPr>
        <a:xfrm>
          <a:off x="7151879" y="1006858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533761</xdr:colOff>
      <xdr:row>23</xdr:row>
      <xdr:rowOff>106137</xdr:rowOff>
    </xdr:from>
    <xdr:to>
      <xdr:col>9</xdr:col>
      <xdr:colOff>237427</xdr:colOff>
      <xdr:row>27</xdr:row>
      <xdr:rowOff>148470</xdr:rowOff>
    </xdr:to>
    <xdr:sp macro="" textlink="$U$18">
      <xdr:nvSpPr>
        <xdr:cNvPr id="54" name="Rectangle 53">
          <a:extLst>
            <a:ext uri="{FF2B5EF4-FFF2-40B4-BE49-F238E27FC236}">
              <a16:creationId xmlns:a16="http://schemas.microsoft.com/office/drawing/2014/main" id="{ACB6823A-DFBB-4BF5-ACF2-F36F23515875}"/>
            </a:ext>
          </a:extLst>
        </xdr:cNvPr>
        <xdr:cNvSpPr/>
      </xdr:nvSpPr>
      <xdr:spPr>
        <a:xfrm>
          <a:off x="7321205" y="944769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D4CBB6B-772D-4F53-B8DB-3BE111651E9D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81844</xdr:colOff>
      <xdr:row>37</xdr:row>
      <xdr:rowOff>25399</xdr:rowOff>
    </xdr:from>
    <xdr:to>
      <xdr:col>3</xdr:col>
      <xdr:colOff>1267177</xdr:colOff>
      <xdr:row>43</xdr:row>
      <xdr:rowOff>25399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7823699-2F8C-453F-AE64-263F7AD29DC6}"/>
            </a:ext>
          </a:extLst>
        </xdr:cNvPr>
        <xdr:cNvSpPr txBox="1"/>
      </xdr:nvSpPr>
      <xdr:spPr>
        <a:xfrm>
          <a:off x="81844" y="11963399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Amara</a:t>
          </a:r>
        </a:p>
      </xdr:txBody>
    </xdr:sp>
    <xdr:clientData/>
  </xdr:twoCellAnchor>
  <xdr:twoCellAnchor>
    <xdr:from>
      <xdr:col>3</xdr:col>
      <xdr:colOff>1080911</xdr:colOff>
      <xdr:row>27</xdr:row>
      <xdr:rowOff>79021</xdr:rowOff>
    </xdr:from>
    <xdr:to>
      <xdr:col>7</xdr:col>
      <xdr:colOff>361244</xdr:colOff>
      <xdr:row>31</xdr:row>
      <xdr:rowOff>135466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6735F66-F4D9-4515-AC73-BBD006BD5BF6}"/>
            </a:ext>
          </a:extLst>
        </xdr:cNvPr>
        <xdr:cNvSpPr txBox="1"/>
      </xdr:nvSpPr>
      <xdr:spPr>
        <a:xfrm>
          <a:off x="3522133" y="10182577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Nova</a:t>
          </a:r>
        </a:p>
      </xdr:txBody>
    </xdr:sp>
    <xdr:clientData/>
  </xdr:twoCellAnchor>
  <xdr:twoCellAnchor>
    <xdr:from>
      <xdr:col>6</xdr:col>
      <xdr:colOff>273755</xdr:colOff>
      <xdr:row>18</xdr:row>
      <xdr:rowOff>19755</xdr:rowOff>
    </xdr:from>
    <xdr:to>
      <xdr:col>9</xdr:col>
      <xdr:colOff>1444977</xdr:colOff>
      <xdr:row>21</xdr:row>
      <xdr:rowOff>5644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4DB2CED-AE65-4C01-9428-31A6A18E9998}"/>
            </a:ext>
          </a:extLst>
        </xdr:cNvPr>
        <xdr:cNvSpPr txBox="1"/>
      </xdr:nvSpPr>
      <xdr:spPr>
        <a:xfrm>
          <a:off x="6722533" y="7950199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Parijat</a:t>
          </a:r>
        </a:p>
      </xdr:txBody>
    </xdr:sp>
    <xdr:clientData/>
  </xdr:twoCellAnchor>
  <xdr:twoCellAnchor>
    <xdr:from>
      <xdr:col>6</xdr:col>
      <xdr:colOff>327377</xdr:colOff>
      <xdr:row>37</xdr:row>
      <xdr:rowOff>59265</xdr:rowOff>
    </xdr:from>
    <xdr:to>
      <xdr:col>9</xdr:col>
      <xdr:colOff>1498599</xdr:colOff>
      <xdr:row>43</xdr:row>
      <xdr:rowOff>59265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5821277-0E20-4D4C-B68D-B2FE0A882E54}"/>
            </a:ext>
          </a:extLst>
        </xdr:cNvPr>
        <xdr:cNvSpPr txBox="1"/>
      </xdr:nvSpPr>
      <xdr:spPr>
        <a:xfrm>
          <a:off x="6776155" y="11997265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Marvel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4</xdr:col>
      <xdr:colOff>102357</xdr:colOff>
      <xdr:row>7</xdr:row>
      <xdr:rowOff>164353</xdr:rowOff>
    </xdr:to>
    <xdr:sp macro="" textlink="">
      <xdr:nvSpPr>
        <xdr:cNvPr id="88" name="Rectangle 3">
          <a:extLst>
            <a:ext uri="{FF2B5EF4-FFF2-40B4-BE49-F238E27FC236}">
              <a16:creationId xmlns:a16="http://schemas.microsoft.com/office/drawing/2014/main" id="{3213D067-618B-48E4-874C-A6509E8090B7}"/>
            </a:ext>
          </a:extLst>
        </xdr:cNvPr>
        <xdr:cNvSpPr/>
      </xdr:nvSpPr>
      <xdr:spPr>
        <a:xfrm>
          <a:off x="285749" y="638953"/>
          <a:ext cx="8951083" cy="540232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226863</xdr:colOff>
      <xdr:row>1</xdr:row>
      <xdr:rowOff>44824</xdr:rowOff>
    </xdr:from>
    <xdr:to>
      <xdr:col>7</xdr:col>
      <xdr:colOff>136919</xdr:colOff>
      <xdr:row>7</xdr:row>
      <xdr:rowOff>175916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E0BF9DD2-A8A1-4070-9D80-AAC96AE5875F}"/>
            </a:ext>
            <a:ext uri="{147F2762-F138-4A5C-976F-8EAC2B608ADB}">
              <a16:predDERef xmlns:a16="http://schemas.microsoft.com/office/drawing/2014/main" pred="{3213D067-618B-48E4-874C-A6509E8090B7}"/>
            </a:ext>
          </a:extLst>
        </xdr:cNvPr>
        <xdr:cNvSpPr/>
      </xdr:nvSpPr>
      <xdr:spPr>
        <a:xfrm>
          <a:off x="9361338" y="644899"/>
          <a:ext cx="6968081" cy="540794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304799</xdr:colOff>
      <xdr:row>7</xdr:row>
      <xdr:rowOff>295275</xdr:rowOff>
    </xdr:from>
    <xdr:to>
      <xdr:col>5</xdr:col>
      <xdr:colOff>3047999</xdr:colOff>
      <xdr:row>25</xdr:row>
      <xdr:rowOff>85725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4DDE5C1-5A16-4E0F-A76E-B395AF433808}"/>
            </a:ext>
            <a:ext uri="{147F2762-F138-4A5C-976F-8EAC2B608ADB}">
              <a16:predDERef xmlns:a16="http://schemas.microsoft.com/office/drawing/2014/main" pred="{E0BF9DD2-A8A1-4070-9D80-AAC96AE58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3127375</xdr:colOff>
      <xdr:row>7</xdr:row>
      <xdr:rowOff>307705</xdr:rowOff>
    </xdr:from>
    <xdr:to>
      <xdr:col>9</xdr:col>
      <xdr:colOff>260351</xdr:colOff>
      <xdr:row>25</xdr:row>
      <xdr:rowOff>73025</xdr:rowOff>
    </xdr:to>
    <xdr:graphicFrame macro="">
      <xdr:nvGraphicFramePr>
        <xdr:cNvPr id="118" name="Chart 21">
          <a:extLst>
            <a:ext uri="{FF2B5EF4-FFF2-40B4-BE49-F238E27FC236}">
              <a16:creationId xmlns:a16="http://schemas.microsoft.com/office/drawing/2014/main" id="{117C7DC5-49CF-4E54-9003-AC02643EA881}"/>
            </a:ext>
            <a:ext uri="{147F2762-F138-4A5C-976F-8EAC2B608ADB}">
              <a16:predDERef xmlns:a16="http://schemas.microsoft.com/office/drawing/2014/main" pred="{74DDE5C1-5A16-4E0F-A76E-B395AF433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827528</xdr:colOff>
      <xdr:row>2</xdr:row>
      <xdr:rowOff>1182686</xdr:rowOff>
    </xdr:from>
    <xdr:to>
      <xdr:col>1</xdr:col>
      <xdr:colOff>2375341</xdr:colOff>
      <xdr:row>2</xdr:row>
      <xdr:rowOff>1580830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775AD8A9-8B55-4318-B2F4-ADE8F548F2B0}"/>
            </a:ext>
            <a:ext uri="{147F2762-F138-4A5C-976F-8EAC2B608ADB}">
              <a16:predDERef xmlns:a16="http://schemas.microsoft.com/office/drawing/2014/main" pred="{117C7DC5-49CF-4E54-9003-AC02643EA881}"/>
            </a:ext>
          </a:extLst>
        </xdr:cNvPr>
        <xdr:cNvSpPr txBox="1"/>
      </xdr:nvSpPr>
      <xdr:spPr>
        <a:xfrm>
          <a:off x="1272028" y="2405061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Collection</a:t>
          </a:r>
        </a:p>
      </xdr:txBody>
    </xdr:sp>
    <xdr:clientData/>
  </xdr:twoCellAnchor>
  <xdr:twoCellAnchor>
    <xdr:from>
      <xdr:col>3</xdr:col>
      <xdr:colOff>2569153</xdr:colOff>
      <xdr:row>5</xdr:row>
      <xdr:rowOff>1200150</xdr:rowOff>
    </xdr:from>
    <xdr:to>
      <xdr:col>5</xdr:col>
      <xdr:colOff>2281239</xdr:colOff>
      <xdr:row>5</xdr:row>
      <xdr:rowOff>1551709</xdr:rowOff>
    </xdr:to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D0E514B0-F52C-48D4-A9C9-B0FEB189BCC6}"/>
            </a:ext>
            <a:ext uri="{147F2762-F138-4A5C-976F-8EAC2B608ADB}">
              <a16:predDERef xmlns:a16="http://schemas.microsoft.com/office/drawing/2014/main" pred="{38F6B24A-85A9-440B-9E39-BF52BD75A0F2}"/>
            </a:ext>
          </a:extLst>
        </xdr:cNvPr>
        <xdr:cNvSpPr txBox="1"/>
      </xdr:nvSpPr>
      <xdr:spPr>
        <a:xfrm>
          <a:off x="6398203" y="5295900"/>
          <a:ext cx="27600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5</xdr:col>
      <xdr:colOff>1607343</xdr:colOff>
      <xdr:row>5</xdr:row>
      <xdr:rowOff>1235870</xdr:rowOff>
    </xdr:from>
    <xdr:to>
      <xdr:col>6</xdr:col>
      <xdr:colOff>221456</xdr:colOff>
      <xdr:row>5</xdr:row>
      <xdr:rowOff>1649254</xdr:rowOff>
    </xdr:to>
    <xdr:sp macro="" textlink="">
      <xdr:nvSpPr>
        <xdr:cNvPr id="122" name="TextBox 10">
          <a:extLst>
            <a:ext uri="{FF2B5EF4-FFF2-40B4-BE49-F238E27FC236}">
              <a16:creationId xmlns:a16="http://schemas.microsoft.com/office/drawing/2014/main" id="{BF4A152B-71F0-473A-A931-E15A4C9C612E}"/>
            </a:ext>
            <a:ext uri="{147F2762-F138-4A5C-976F-8EAC2B608ADB}">
              <a16:predDERef xmlns:a16="http://schemas.microsoft.com/office/drawing/2014/main" pred="{D0E514B0-F52C-48D4-A9C9-B0FEB189BCC6}"/>
            </a:ext>
          </a:extLst>
        </xdr:cNvPr>
        <xdr:cNvSpPr txBox="1"/>
      </xdr:nvSpPr>
      <xdr:spPr>
        <a:xfrm>
          <a:off x="8484393" y="5331620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2427628</xdr:colOff>
      <xdr:row>2</xdr:row>
      <xdr:rowOff>1197965</xdr:rowOff>
    </xdr:from>
    <xdr:to>
      <xdr:col>3</xdr:col>
      <xdr:colOff>594066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58E67B-EA79-4402-8911-CC80DCD264AF}"/>
            </a:ext>
            <a:ext uri="{147F2762-F138-4A5C-976F-8EAC2B608ADB}">
              <a16:predDERef xmlns:a16="http://schemas.microsoft.com/office/drawing/2014/main" pred="{BF4A152B-71F0-473A-A931-E15A4C9C612E}"/>
            </a:ext>
          </a:extLst>
        </xdr:cNvPr>
        <xdr:cNvSpPr txBox="1"/>
      </xdr:nvSpPr>
      <xdr:spPr>
        <a:xfrm>
          <a:off x="2872128" y="2420340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4</xdr:col>
      <xdr:colOff>16453</xdr:colOff>
      <xdr:row>2</xdr:row>
      <xdr:rowOff>1219200</xdr:rowOff>
    </xdr:from>
    <xdr:to>
      <xdr:col>5</xdr:col>
      <xdr:colOff>2395539</xdr:colOff>
      <xdr:row>2</xdr:row>
      <xdr:rowOff>1570759</xdr:rowOff>
    </xdr:to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8EB1349B-C038-48F4-8550-EDC1B9A636FC}"/>
            </a:ext>
            <a:ext uri="{147F2762-F138-4A5C-976F-8EAC2B608ADB}">
              <a16:predDERef xmlns:a16="http://schemas.microsoft.com/office/drawing/2014/main" pred="{0858E67B-EA79-4402-8911-CC80DCD264AF}"/>
            </a:ext>
          </a:extLst>
        </xdr:cNvPr>
        <xdr:cNvSpPr txBox="1"/>
      </xdr:nvSpPr>
      <xdr:spPr>
        <a:xfrm>
          <a:off x="9150928" y="2428875"/>
          <a:ext cx="2750561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5</xdr:col>
      <xdr:colOff>1493043</xdr:colOff>
      <xdr:row>2</xdr:row>
      <xdr:rowOff>1226345</xdr:rowOff>
    </xdr:from>
    <xdr:to>
      <xdr:col>6</xdr:col>
      <xdr:colOff>107156</xdr:colOff>
      <xdr:row>2</xdr:row>
      <xdr:rowOff>1639729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5F6243ED-33E7-4445-B92B-9B131541A783}"/>
            </a:ext>
            <a:ext uri="{147F2762-F138-4A5C-976F-8EAC2B608ADB}">
              <a16:predDERef xmlns:a16="http://schemas.microsoft.com/office/drawing/2014/main" pred="{8EB1349B-C038-48F4-8550-EDC1B9A636FC}"/>
            </a:ext>
          </a:extLst>
        </xdr:cNvPr>
        <xdr:cNvSpPr txBox="1"/>
      </xdr:nvSpPr>
      <xdr:spPr>
        <a:xfrm>
          <a:off x="8351043" y="2445545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5</xdr:col>
      <xdr:colOff>2936875</xdr:colOff>
      <xdr:row>2</xdr:row>
      <xdr:rowOff>1216025</xdr:rowOff>
    </xdr:from>
    <xdr:to>
      <xdr:col>6</xdr:col>
      <xdr:colOff>2229861</xdr:colOff>
      <xdr:row>2</xdr:row>
      <xdr:rowOff>1567584</xdr:rowOff>
    </xdr:to>
    <xdr:sp macro="" textlink="">
      <xdr:nvSpPr>
        <xdr:cNvPr id="119" name="TextBox 3">
          <a:extLst>
            <a:ext uri="{FF2B5EF4-FFF2-40B4-BE49-F238E27FC236}">
              <a16:creationId xmlns:a16="http://schemas.microsoft.com/office/drawing/2014/main" id="{F12D84BB-1D1C-455B-81A0-A3C547A3F05E}"/>
            </a:ext>
            <a:ext uri="{147F2762-F138-4A5C-976F-8EAC2B608ADB}">
              <a16:predDERef xmlns:a16="http://schemas.microsoft.com/office/drawing/2014/main" pred="{5F6243ED-33E7-4445-B92B-9B131541A783}"/>
            </a:ext>
          </a:extLst>
        </xdr:cNvPr>
        <xdr:cNvSpPr txBox="1"/>
      </xdr:nvSpPr>
      <xdr:spPr>
        <a:xfrm>
          <a:off x="9175750" y="2438400"/>
          <a:ext cx="25314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6</xdr:col>
      <xdr:colOff>1485900</xdr:colOff>
      <xdr:row>2</xdr:row>
      <xdr:rowOff>1244600</xdr:rowOff>
    </xdr:from>
    <xdr:to>
      <xdr:col>6</xdr:col>
      <xdr:colOff>3020378</xdr:colOff>
      <xdr:row>2</xdr:row>
      <xdr:rowOff>1657984</xdr:rowOff>
    </xdr:to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4BDDC1DE-0152-4B42-9605-2852A1BD1FE2}"/>
            </a:ext>
            <a:ext uri="{147F2762-F138-4A5C-976F-8EAC2B608ADB}">
              <a16:predDERef xmlns:a16="http://schemas.microsoft.com/office/drawing/2014/main" pred="{F12D84BB-1D1C-455B-81A0-A3C547A3F05E}"/>
            </a:ext>
          </a:extLst>
        </xdr:cNvPr>
        <xdr:cNvSpPr txBox="1"/>
      </xdr:nvSpPr>
      <xdr:spPr>
        <a:xfrm>
          <a:off x="10963275" y="2466975"/>
          <a:ext cx="1534478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0</xdr:col>
      <xdr:colOff>285749</xdr:colOff>
      <xdr:row>1</xdr:row>
      <xdr:rowOff>35703</xdr:rowOff>
    </xdr:from>
    <xdr:to>
      <xdr:col>4</xdr:col>
      <xdr:colOff>102357</xdr:colOff>
      <xdr:row>7</xdr:row>
      <xdr:rowOff>161178</xdr:rowOff>
    </xdr:to>
    <xdr:sp macro="" textlink="">
      <xdr:nvSpPr>
        <xdr:cNvPr id="90" name="Rectangle 3">
          <a:extLst>
            <a:ext uri="{FF2B5EF4-FFF2-40B4-BE49-F238E27FC236}">
              <a16:creationId xmlns:a16="http://schemas.microsoft.com/office/drawing/2014/main" id="{1AC6D363-9BF3-461E-B0F9-3EE5769BC496}"/>
            </a:ext>
          </a:extLst>
        </xdr:cNvPr>
        <xdr:cNvSpPr/>
      </xdr:nvSpPr>
      <xdr:spPr>
        <a:xfrm>
          <a:off x="285749" y="638953"/>
          <a:ext cx="5388733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247649</xdr:colOff>
      <xdr:row>1</xdr:row>
      <xdr:rowOff>45228</xdr:rowOff>
    </xdr:from>
    <xdr:to>
      <xdr:col>9</xdr:col>
      <xdr:colOff>238125</xdr:colOff>
      <xdr:row>7</xdr:row>
      <xdr:rowOff>170703</xdr:rowOff>
    </xdr:to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C87E58F9-42E8-4903-8C32-4DB81A718843}"/>
            </a:ext>
          </a:extLst>
        </xdr:cNvPr>
        <xdr:cNvSpPr/>
      </xdr:nvSpPr>
      <xdr:spPr>
        <a:xfrm>
          <a:off x="14138274" y="648478"/>
          <a:ext cx="4689476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adise%20-%20Lakshya%20CRM%20Tracker%20-%20April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April'26/Paradise%20-%20Lakshya%20CRM%20Tracker%20-%20April'26.xlsx" TargetMode="External"/><Relationship Id="rId1" Type="http://schemas.openxmlformats.org/officeDocument/2006/relationships/externalLinkPath" Target="/sites/CRM/Shared%20Documents/General/LAKSHYA%20TRACKERS%20MONTHLY/LAKSHYA%20CRM%20TRACKER/LAKSHYA%20CRM%20Tracker%20-%20April'26/Paradise%20-%20Lakshya%20CRM%20Tracker%20-%20April'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ijat%20-%20Lakshya%20CRM%20Tracker%20-%20April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April'26/Parijat%20-%20Lakshya%20CRM%20Tracker%20-%20April'26.xlsx" TargetMode="External"/><Relationship Id="rId1" Type="http://schemas.openxmlformats.org/officeDocument/2006/relationships/externalLinkPath" Target="/sites/CRM/Shared%20Documents/General/LAKSHYA%20TRACKERS%20MONTHLY/LAKSHYA%20CRM%20TRACKER/LAKSHYA%20CRM%20Tracker%20-%20April'26/Parijat%20-%20Lakshya%20CRM%20Tracker%20-%20April'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NTA%20-%20Lakshya%20CRM%20Tracker%20-%20April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April'26/ANANTA%20-%20Lakshya%20CRM%20Tracker%20-%20April'26.xlsx" TargetMode="External"/><Relationship Id="rId1" Type="http://schemas.openxmlformats.org/officeDocument/2006/relationships/externalLinkPath" Target="/sites/CRM/Shared%20Documents/General/LAKSHYA%20TRACKERS%20MONTHLY/LAKSHYA%20CRM%20TRACKER/LAKSHYA%20CRM%20Tracker%20-%20April'26/ANANTA%20-%20Lakshya%20CRM%20Tracker%20-%20April'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Vista%20-%20Lakshya%20CRM%20Tracker%20-%20April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April'26/Vista%20-%20Lakshya%20CRM%20Tracker%20-%20April'26.xlsx" TargetMode="External"/><Relationship Id="rId1" Type="http://schemas.openxmlformats.org/officeDocument/2006/relationships/externalLinkPath" Target="/sites/CRM/Shared%20Documents/General/LAKSHYA%20TRACKERS%20MONTHLY/LAKSHYA%20CRM%20TRACKER/LAKSHYA%20CRM%20Tracker%20-%20April'26/Vista%20-%20Lakshya%20CRM%20Tracker%20-%20April'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Avenue%20-%20Lakshya%20CRM%20Tracker%20-%20April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April'26/Avenue%20-%20Lakshya%20CRM%20Tracker%20-%20April'26.xlsx" TargetMode="External"/><Relationship Id="rId1" Type="http://schemas.openxmlformats.org/officeDocument/2006/relationships/externalLinkPath" Target="/sites/CRM/Shared%20Documents/General/LAKSHYA%20TRACKERS%20MONTHLY/LAKSHYA%20CRM%20TRACKER/LAKSHYA%20CRM%20Tracker%20-%20April'26/Avenue%20-%20Lakshya%20CRM%20Tracker%20-%20April'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Utopia%20-%20Lakshya%20CRM%20Tracker%20-%20April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April'26/Utopia%20-%20Lakshya%20CRM%20Tracker%20-%20April'26.xlsx" TargetMode="External"/><Relationship Id="rId1" Type="http://schemas.openxmlformats.org/officeDocument/2006/relationships/externalLinkPath" Target="/sites/CRM/Shared%20Documents/General/LAKSHYA%20TRACKERS%20MONTHLY/LAKSHYA%20CRM%20TRACKER/LAKSHYA%20CRM%20Tracker%20-%20April'26/Utopia%20-%20Lakshya%20CRM%20Tracker%20-%20April'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nclave%20-%20Lakshya%20CRM%20Tracker%20-%20April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April'26/Enclave%20-%20Lakshya%20CRM%20Tracker%20-%20April'26.xlsx" TargetMode="External"/><Relationship Id="rId1" Type="http://schemas.openxmlformats.org/officeDocument/2006/relationships/externalLinkPath" Target="/sites/CRM/Shared%20Documents/General/LAKSHYA%20TRACKERS%20MONTHLY/LAKSHYA%20CRM%20TRACKER/LAKSHYA%20CRM%20Tracker%20-%20April'26/Enclave%20-%20Lakshya%20CRM%20Tracker%20-%20April'2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AKSHYA%20CRM%20Tracker%20-%20March'26/Marvel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Marvel%20-%20Lakshya%20CRM%20Tracker%20-%20March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Sheet3"/>
      <sheetName val="100% Payment Recvd List "/>
      <sheetName val="Possession Done "/>
      <sheetName val="Possession Pending Data "/>
      <sheetName val="Next Site Visit Data  "/>
      <sheetName val="Summary- Possession"/>
      <sheetName val="Sheet5"/>
      <sheetName val="Till 2nd Feb"/>
      <sheetName val="Sheet2"/>
      <sheetName val="Sheet1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/>
          <cell r="R3"/>
        </row>
        <row r="7">
          <cell r="B7">
            <v>187</v>
          </cell>
          <cell r="D7">
            <v>0</v>
          </cell>
          <cell r="E7">
            <v>4.4807138999999996</v>
          </cell>
          <cell r="F7">
            <v>1</v>
          </cell>
          <cell r="I7">
            <v>6.0278847000000004</v>
          </cell>
          <cell r="J7">
            <v>2.5798586000000001</v>
          </cell>
          <cell r="L7">
            <v>2.04</v>
          </cell>
        </row>
        <row r="8">
          <cell r="I8">
            <v>0.2030189</v>
          </cell>
          <cell r="J8">
            <v>0</v>
          </cell>
          <cell r="L8">
            <v>0.2</v>
          </cell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1.8301886000000001</v>
          </cell>
          <cell r="L11"/>
        </row>
        <row r="12">
          <cell r="I12"/>
          <cell r="J12">
            <v>0</v>
          </cell>
          <cell r="L12">
            <v>0</v>
          </cell>
        </row>
        <row r="13">
          <cell r="I13">
            <v>6.2309036000000004</v>
          </cell>
          <cell r="J13">
            <v>4.4100472000000002</v>
          </cell>
          <cell r="L13">
            <v>2.2400000000000002</v>
          </cell>
        </row>
        <row r="14">
          <cell r="C14">
            <v>206.6961451</v>
          </cell>
          <cell r="D14">
            <v>205.6492499</v>
          </cell>
          <cell r="E14">
            <v>3.6806382000000002</v>
          </cell>
        </row>
        <row r="18">
          <cell r="I18">
            <v>1.1717344999999999</v>
          </cell>
          <cell r="L18">
            <v>3.6806382000000002</v>
          </cell>
        </row>
        <row r="19">
          <cell r="I19">
            <v>2.2479263</v>
          </cell>
          <cell r="L19">
            <v>0</v>
          </cell>
        </row>
        <row r="20">
          <cell r="I20">
            <v>0.7007274</v>
          </cell>
          <cell r="L20">
            <v>0</v>
          </cell>
        </row>
        <row r="21">
          <cell r="D21">
            <v>1</v>
          </cell>
          <cell r="F21">
            <v>1</v>
          </cell>
          <cell r="I21">
            <v>1.4966375000000001</v>
          </cell>
        </row>
        <row r="22">
          <cell r="I22">
            <v>4.8954400000000002E-2</v>
          </cell>
          <cell r="L22">
            <v>0</v>
          </cell>
        </row>
        <row r="23">
          <cell r="I23">
            <v>1.1047847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Amount Due on Terrace Slab"/>
      <sheetName val="2nd March"/>
      <sheetName val="Consent "/>
      <sheetName val="Interest working Calculation"/>
      <sheetName val="Till 2nd Feb"/>
      <sheetName val="Sheet1"/>
      <sheetName val="Sept Start Collec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1</v>
          </cell>
          <cell r="R3">
            <v>0</v>
          </cell>
        </row>
        <row r="7">
          <cell r="B7">
            <v>105</v>
          </cell>
          <cell r="D7">
            <v>0</v>
          </cell>
          <cell r="E7">
            <v>8.6502189809523831</v>
          </cell>
          <cell r="F7">
            <v>0</v>
          </cell>
          <cell r="I7">
            <v>2.4173452000000002</v>
          </cell>
          <cell r="J7">
            <v>1.1720278380952358</v>
          </cell>
          <cell r="L7">
            <v>0.68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I12">
            <v>11.85</v>
          </cell>
          <cell r="J12">
            <v>7.4781911428571437</v>
          </cell>
        </row>
        <row r="13">
          <cell r="C13">
            <v>101.85285759999999</v>
          </cell>
          <cell r="D13">
            <v>96.866327980952377</v>
          </cell>
          <cell r="E13">
            <v>5.9417039285714308</v>
          </cell>
          <cell r="I13">
            <v>14.267345199999999</v>
          </cell>
          <cell r="J13">
            <v>8.6502189809523795</v>
          </cell>
          <cell r="L13">
            <v>0.68</v>
          </cell>
        </row>
        <row r="18">
          <cell r="L18">
            <v>5.9034896285714309</v>
          </cell>
        </row>
        <row r="19">
          <cell r="L19">
            <v>3.82143E-2</v>
          </cell>
        </row>
        <row r="20">
          <cell r="D20">
            <v>1</v>
          </cell>
          <cell r="F20">
            <v>1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 "/>
      <sheetName val="Expected Reg"/>
      <sheetName val="Exp flooring from REG"/>
      <sheetName val="2nd March"/>
      <sheetName val="Working Sheet"/>
      <sheetName val="Sheet1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10</v>
          </cell>
          <cell r="R3">
            <v>8</v>
          </cell>
        </row>
        <row r="7">
          <cell r="B7">
            <v>74</v>
          </cell>
          <cell r="D7">
            <v>0</v>
          </cell>
          <cell r="E7">
            <v>5.3060297722380962</v>
          </cell>
          <cell r="F7">
            <v>4</v>
          </cell>
          <cell r="I7">
            <v>2.2269663999999998</v>
          </cell>
          <cell r="J7">
            <v>1.6921174722380952</v>
          </cell>
          <cell r="L7">
            <v>2.08</v>
          </cell>
        </row>
        <row r="8">
          <cell r="I8">
            <v>0.48930010000000002</v>
          </cell>
          <cell r="J8">
            <v>0.51428571428571412</v>
          </cell>
          <cell r="L8"/>
        </row>
        <row r="9">
          <cell r="I9"/>
          <cell r="J9">
            <v>0.3184427619047619</v>
          </cell>
          <cell r="L9"/>
        </row>
        <row r="10">
          <cell r="I10">
            <v>0.39</v>
          </cell>
          <cell r="J10">
            <v>0.3055852476190476</v>
          </cell>
          <cell r="L10">
            <v>0.39</v>
          </cell>
        </row>
        <row r="11">
          <cell r="I11">
            <v>5.46</v>
          </cell>
          <cell r="J11">
            <v>1.9107596238095239</v>
          </cell>
          <cell r="L11">
            <v>3.88</v>
          </cell>
        </row>
        <row r="12">
          <cell r="I12"/>
          <cell r="J12">
            <v>0.61245799999999995</v>
          </cell>
          <cell r="L12"/>
        </row>
        <row r="13">
          <cell r="C13">
            <v>45.568174599999999</v>
          </cell>
          <cell r="D13">
            <v>46.860068677000001</v>
          </cell>
          <cell r="E13">
            <v>1.6152759666666665</v>
          </cell>
          <cell r="I13">
            <v>8.5662664999999993</v>
          </cell>
          <cell r="J13">
            <v>5.0352060579523812</v>
          </cell>
          <cell r="L13">
            <v>6.35</v>
          </cell>
        </row>
        <row r="18">
          <cell r="L18">
            <v>0.48546492857142853</v>
          </cell>
        </row>
        <row r="19">
          <cell r="L19">
            <v>9.9999999999999995E-8</v>
          </cell>
        </row>
        <row r="20">
          <cell r="D20">
            <v>15</v>
          </cell>
          <cell r="F20">
            <v>10</v>
          </cell>
          <cell r="L20">
            <v>0</v>
          </cell>
        </row>
        <row r="21">
          <cell r="L21">
            <v>0.19047624761904763</v>
          </cell>
        </row>
        <row r="22">
          <cell r="L22">
            <v>0.93933469047619045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 "/>
      <sheetName val="Sheet1"/>
      <sheetName val="Working Sheet"/>
      <sheetName val="Slots"/>
      <sheetName val="6th Slab Updated"/>
      <sheetName val="Expected Registration"/>
      <sheetName val="2nd March"/>
      <sheetName val="OS ptp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7</v>
          </cell>
          <cell r="R3">
            <v>6</v>
          </cell>
        </row>
        <row r="7">
          <cell r="B7">
            <v>50</v>
          </cell>
          <cell r="D7">
            <v>0</v>
          </cell>
          <cell r="E7">
            <v>3.9736440952380963</v>
          </cell>
          <cell r="F7">
            <v>4</v>
          </cell>
          <cell r="I7">
            <v>0.45724209999999998</v>
          </cell>
          <cell r="J7">
            <v>0.33286333333333334</v>
          </cell>
          <cell r="L7">
            <v>0.46</v>
          </cell>
        </row>
        <row r="8">
          <cell r="I8">
            <v>0.49365490000000001</v>
          </cell>
          <cell r="J8">
            <v>3.5090285714285713E-2</v>
          </cell>
          <cell r="L8"/>
        </row>
        <row r="9">
          <cell r="I9"/>
          <cell r="J9">
            <v>9.4285714285714285E-3</v>
          </cell>
          <cell r="L9"/>
        </row>
        <row r="10">
          <cell r="I10">
            <v>2.4300000000000002</v>
          </cell>
          <cell r="J10">
            <v>2.8829240952380957</v>
          </cell>
          <cell r="L10">
            <v>2.4300000000000002</v>
          </cell>
        </row>
        <row r="11">
          <cell r="I11">
            <v>4.1100000000000003</v>
          </cell>
          <cell r="J11">
            <v>0.50705199999999995</v>
          </cell>
          <cell r="L11">
            <v>1.88</v>
          </cell>
        </row>
        <row r="12">
          <cell r="I12">
            <v>0.28000000000000003</v>
          </cell>
          <cell r="J12">
            <v>0.16190476190476188</v>
          </cell>
          <cell r="L12">
            <v>0.28000000000000003</v>
          </cell>
        </row>
        <row r="13">
          <cell r="C13">
            <v>33.941633299999999</v>
          </cell>
          <cell r="D13">
            <v>33.694863347619048</v>
          </cell>
          <cell r="E13">
            <v>0.58854869523809505</v>
          </cell>
          <cell r="I13">
            <v>7.7708970000000006</v>
          </cell>
          <cell r="J13">
            <v>3.9198344761904762</v>
          </cell>
          <cell r="L13">
            <v>5.05</v>
          </cell>
        </row>
        <row r="18">
          <cell r="L18">
            <v>0.24255795714285708</v>
          </cell>
        </row>
        <row r="19">
          <cell r="L19">
            <v>8.8571300000000006E-2</v>
          </cell>
        </row>
        <row r="20">
          <cell r="D20">
            <v>3</v>
          </cell>
          <cell r="F20">
            <v>1</v>
          </cell>
          <cell r="L20">
            <v>0</v>
          </cell>
        </row>
        <row r="21">
          <cell r="L21">
            <v>0.20846761428571417</v>
          </cell>
        </row>
        <row r="22">
          <cell r="L22">
            <v>4.8951823809523808E-2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Payment Schedule "/>
      <sheetName val="3rd slab  "/>
      <sheetName val="Registration"/>
      <sheetName val="Sheet1"/>
      <sheetName val="Slot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6</v>
          </cell>
          <cell r="R3">
            <v>6</v>
          </cell>
        </row>
        <row r="7">
          <cell r="B7">
            <v>54</v>
          </cell>
          <cell r="D7">
            <v>0</v>
          </cell>
          <cell r="E7">
            <v>4.2654045571428583</v>
          </cell>
          <cell r="F7">
            <v>7</v>
          </cell>
          <cell r="I7">
            <v>0.45095040000000003</v>
          </cell>
          <cell r="J7">
            <v>0.78622270476190481</v>
          </cell>
          <cell r="L7">
            <v>0.16</v>
          </cell>
        </row>
        <row r="8">
          <cell r="I8">
            <v>0.56209019999999998</v>
          </cell>
          <cell r="J8">
            <v>0.1680952380952381</v>
          </cell>
        </row>
        <row r="9">
          <cell r="J9">
            <v>3.9048285714285716E-2</v>
          </cell>
        </row>
        <row r="10">
          <cell r="I10">
            <v>1.4410871000000001</v>
          </cell>
          <cell r="J10">
            <v>0.77197622380952391</v>
          </cell>
          <cell r="L10">
            <v>1.44</v>
          </cell>
        </row>
        <row r="11">
          <cell r="I11">
            <v>2.79</v>
          </cell>
          <cell r="J11">
            <v>2.4820524857142856</v>
          </cell>
          <cell r="L11">
            <v>2.2799999999999998</v>
          </cell>
        </row>
        <row r="12">
          <cell r="I12">
            <v>0.28999999999999998</v>
          </cell>
          <cell r="J12">
            <v>0</v>
          </cell>
          <cell r="L12">
            <v>0.28999999999999998</v>
          </cell>
        </row>
        <row r="13">
          <cell r="C13">
            <v>23.9863678</v>
          </cell>
          <cell r="D13">
            <v>24.688711438095233</v>
          </cell>
          <cell r="E13">
            <v>2.6275067904761897</v>
          </cell>
          <cell r="I13">
            <v>5.5341277</v>
          </cell>
          <cell r="J13">
            <v>4.2083466523809534</v>
          </cell>
          <cell r="L13">
            <v>4.17</v>
          </cell>
        </row>
        <row r="18">
          <cell r="L18">
            <v>0.29191159999999999</v>
          </cell>
        </row>
        <row r="19">
          <cell r="L19">
            <v>0.42161400476190475</v>
          </cell>
        </row>
        <row r="20">
          <cell r="D20">
            <v>11</v>
          </cell>
          <cell r="F20">
            <v>8</v>
          </cell>
          <cell r="L20">
            <v>0.12619049047619049</v>
          </cell>
        </row>
        <row r="21">
          <cell r="L21">
            <v>1.7596301190476191</v>
          </cell>
        </row>
        <row r="22">
          <cell r="L22">
            <v>2.8160576190476214E-2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Collection MTD - LTD"/>
      <sheetName val="Sheet2"/>
      <sheetName val="Sheet3"/>
      <sheetName val="Tracker"/>
      <sheetName val="Project Summary"/>
      <sheetName val="Payment Schedule"/>
      <sheetName val="Sheet1"/>
      <sheetName val="Working Sheet"/>
      <sheetName val="Slots"/>
      <sheetName val="CRM I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Q3">
            <v>0</v>
          </cell>
          <cell r="R3">
            <v>0</v>
          </cell>
        </row>
        <row r="7">
          <cell r="B7">
            <v>16</v>
          </cell>
          <cell r="D7">
            <v>0</v>
          </cell>
          <cell r="E7">
            <v>0.82010580952380951</v>
          </cell>
          <cell r="F7">
            <v>2</v>
          </cell>
          <cell r="I7">
            <v>0</v>
          </cell>
          <cell r="J7">
            <v>0</v>
          </cell>
          <cell r="L7"/>
        </row>
        <row r="8">
          <cell r="I8">
            <v>0.26872970000000002</v>
          </cell>
          <cell r="J8">
            <v>0.57619047619047614</v>
          </cell>
          <cell r="L8"/>
        </row>
        <row r="9">
          <cell r="I9"/>
          <cell r="J9">
            <v>0.23677247619047617</v>
          </cell>
          <cell r="L9"/>
        </row>
        <row r="10">
          <cell r="I10">
            <v>0</v>
          </cell>
          <cell r="J10">
            <v>0</v>
          </cell>
          <cell r="L10"/>
        </row>
        <row r="11">
          <cell r="I11">
            <v>0</v>
          </cell>
          <cell r="J11">
            <v>0</v>
          </cell>
          <cell r="L11"/>
        </row>
        <row r="12">
          <cell r="I12">
            <v>0</v>
          </cell>
          <cell r="J12">
            <v>0</v>
          </cell>
          <cell r="L12"/>
        </row>
        <row r="13">
          <cell r="C13">
            <v>1.3584535</v>
          </cell>
          <cell r="D13">
            <v>1.4807047523809522</v>
          </cell>
          <cell r="E13">
            <v>0.47657660000000002</v>
          </cell>
          <cell r="I13">
            <v>0.26872970000000002</v>
          </cell>
          <cell r="J13">
            <v>0.57619047619047614</v>
          </cell>
          <cell r="L13">
            <v>0</v>
          </cell>
        </row>
        <row r="18">
          <cell r="I18">
            <v>0</v>
          </cell>
          <cell r="L18">
            <v>0</v>
          </cell>
        </row>
        <row r="19">
          <cell r="I19">
            <v>0.1</v>
          </cell>
          <cell r="L19">
            <v>0.47657660000000002</v>
          </cell>
        </row>
        <row r="20">
          <cell r="D20">
            <v>13</v>
          </cell>
          <cell r="F20">
            <v>6</v>
          </cell>
          <cell r="I20">
            <v>0</v>
          </cell>
          <cell r="L20">
            <v>0</v>
          </cell>
        </row>
        <row r="21">
          <cell r="I21">
            <v>0</v>
          </cell>
          <cell r="L21">
            <v>0</v>
          </cell>
        </row>
        <row r="22">
          <cell r="I22">
            <v>0</v>
          </cell>
          <cell r="L22">
            <v>0</v>
          </cell>
        </row>
        <row r="23">
          <cell r="I23">
            <v>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Working Sheet"/>
      <sheetName val="Project Summary"/>
      <sheetName val="Payment Schedule "/>
      <sheetName val="Exceepted Registra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Q3">
            <v>1</v>
          </cell>
          <cell r="R3">
            <v>1</v>
          </cell>
        </row>
        <row r="7">
          <cell r="B7">
            <v>24</v>
          </cell>
          <cell r="D7">
            <v>0</v>
          </cell>
          <cell r="E7">
            <v>2.2055190476190476</v>
          </cell>
          <cell r="F7">
            <v>0</v>
          </cell>
          <cell r="I7">
            <v>1.8166184000000001</v>
          </cell>
          <cell r="J7">
            <v>0.47619047619047622</v>
          </cell>
          <cell r="L7">
            <v>1.82</v>
          </cell>
        </row>
        <row r="8">
          <cell r="I8">
            <v>0.19</v>
          </cell>
          <cell r="J8">
            <v>0.18389952380952382</v>
          </cell>
        </row>
        <row r="9">
          <cell r="I9">
            <v>0</v>
          </cell>
          <cell r="J9">
            <v>0</v>
          </cell>
        </row>
        <row r="10">
          <cell r="I10">
            <v>1.1500002</v>
          </cell>
          <cell r="J10">
            <v>1.5454290476190475</v>
          </cell>
          <cell r="L10">
            <v>1.1499999999999999</v>
          </cell>
        </row>
        <row r="11">
          <cell r="I11">
            <v>1.33</v>
          </cell>
          <cell r="J11">
            <v>0</v>
          </cell>
          <cell r="L11">
            <v>1.33</v>
          </cell>
        </row>
        <row r="12">
          <cell r="J12">
            <v>0</v>
          </cell>
        </row>
        <row r="13">
          <cell r="C13">
            <v>19.816487599999999</v>
          </cell>
          <cell r="D13">
            <v>18.298131247619047</v>
          </cell>
          <cell r="E13">
            <v>1.961495</v>
          </cell>
          <cell r="I13">
            <v>4.4866185999999999</v>
          </cell>
          <cell r="J13">
            <v>2.2055190476190476</v>
          </cell>
          <cell r="K13">
            <v>0.49157711948571864</v>
          </cell>
          <cell r="L13">
            <v>4.3</v>
          </cell>
        </row>
        <row r="18">
          <cell r="L18">
            <v>1.5309041142857143</v>
          </cell>
        </row>
        <row r="19">
          <cell r="L19">
            <v>0.41800527619047623</v>
          </cell>
        </row>
        <row r="20">
          <cell r="D20">
            <v>3</v>
          </cell>
          <cell r="F20">
            <v>3</v>
          </cell>
          <cell r="L20">
            <v>0</v>
          </cell>
        </row>
        <row r="21">
          <cell r="L21">
            <v>1.2585609523809514E-2</v>
          </cell>
        </row>
        <row r="22">
          <cell r="L22">
            <v>0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Sheet2"/>
      <sheetName val="Store room"/>
      <sheetName val="Outstanding Paymen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0</v>
          </cell>
          <cell r="R3">
            <v>0</v>
          </cell>
        </row>
        <row r="7">
          <cell r="B7">
            <v>94</v>
          </cell>
          <cell r="D7">
            <v>0</v>
          </cell>
          <cell r="E7">
            <v>0</v>
          </cell>
          <cell r="F7">
            <v>0</v>
          </cell>
          <cell r="I7">
            <v>0.23</v>
          </cell>
          <cell r="J7">
            <v>0</v>
          </cell>
          <cell r="L7"/>
        </row>
        <row r="8">
          <cell r="I8"/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/>
        </row>
        <row r="13">
          <cell r="C13">
            <v>78.586592100000004</v>
          </cell>
          <cell r="D13">
            <v>78.357736599999996</v>
          </cell>
          <cell r="E13">
            <v>0.22885549999999999</v>
          </cell>
          <cell r="I13">
            <v>0.23</v>
          </cell>
          <cell r="J13">
            <v>0</v>
          </cell>
          <cell r="L13">
            <v>0</v>
          </cell>
        </row>
        <row r="20">
          <cell r="D20">
            <v>1</v>
          </cell>
          <cell r="F20">
            <v>1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C76-FA5F-47B8-A56E-AEDB699F28E9}">
  <sheetPr codeName="Sheet1"/>
  <dimension ref="B1:AN60"/>
  <sheetViews>
    <sheetView showGridLines="0" zoomScale="48" zoomScaleNormal="48" workbookViewId="0">
      <selection activeCell="M1" sqref="M1"/>
    </sheetView>
  </sheetViews>
  <sheetFormatPr defaultColWidth="8.88671875" defaultRowHeight="13.8" x14ac:dyDescent="0.25"/>
  <cols>
    <col min="1" max="1" width="6.44140625" style="1" customWidth="1"/>
    <col min="2" max="2" width="66.33203125" style="1" customWidth="1"/>
    <col min="3" max="3" width="0.5546875" style="1" customWidth="1"/>
    <col min="4" max="4" width="0.88671875" style="1" customWidth="1"/>
    <col min="5" max="5" width="62.88671875" style="1" customWidth="1"/>
    <col min="6" max="6" width="5.5546875" style="1" customWidth="1"/>
    <col min="7" max="7" width="29.44140625" style="1" customWidth="1"/>
    <col min="8" max="8" width="1.44140625" style="1" customWidth="1"/>
    <col min="9" max="9" width="69.44140625" style="1" customWidth="1"/>
    <col min="10" max="10" width="9.109375" style="1" customWidth="1"/>
    <col min="11" max="11" width="8.88671875" style="1"/>
    <col min="12" max="12" width="44.5546875" style="1" customWidth="1"/>
    <col min="13" max="13" width="19.44140625" style="1" customWidth="1"/>
    <col min="14" max="14" width="24" style="1" customWidth="1"/>
    <col min="15" max="15" width="24.44140625" style="1" customWidth="1"/>
    <col min="16" max="16" width="29.44140625" style="1" bestFit="1" customWidth="1"/>
    <col min="17" max="17" width="21" style="1" customWidth="1"/>
    <col min="18" max="18" width="15.5546875" style="1" customWidth="1"/>
    <col min="19" max="19" width="44.44140625" style="1" customWidth="1"/>
    <col min="20" max="20" width="21.5546875" style="1" customWidth="1"/>
    <col min="21" max="21" width="20.5546875" style="1" customWidth="1"/>
    <col min="22" max="22" width="37" style="1" customWidth="1"/>
    <col min="23" max="23" width="23.44140625" style="1" customWidth="1"/>
    <col min="24" max="24" width="30.6640625" style="1" customWidth="1"/>
    <col min="25" max="26" width="19.5546875" style="1" customWidth="1"/>
    <col min="27" max="27" width="30.44140625" style="1" customWidth="1"/>
    <col min="28" max="28" width="25.5546875" style="1" customWidth="1"/>
    <col min="29" max="31" width="17.109375" style="1" customWidth="1"/>
    <col min="32" max="32" width="30.109375" style="91" customWidth="1"/>
    <col min="33" max="36" width="17.109375" style="1" customWidth="1"/>
    <col min="37" max="37" width="12.5546875" style="1" customWidth="1"/>
    <col min="38" max="16384" width="8.88671875" style="1"/>
  </cols>
  <sheetData>
    <row r="1" spans="2:32" s="95" customFormat="1" ht="47.4" customHeight="1" x14ac:dyDescent="0.8">
      <c r="B1" s="226" t="s">
        <v>0</v>
      </c>
      <c r="C1" s="226"/>
      <c r="D1" s="226"/>
      <c r="E1" s="226"/>
      <c r="G1" s="96" t="s">
        <v>1</v>
      </c>
      <c r="H1" s="97"/>
      <c r="I1" s="98">
        <f ca="1">TODAY()</f>
        <v>46149</v>
      </c>
      <c r="L1" s="110"/>
      <c r="M1" s="110" t="s">
        <v>2</v>
      </c>
      <c r="N1" s="110"/>
      <c r="O1" s="110"/>
      <c r="AF1" s="99"/>
    </row>
    <row r="2" spans="2:32" s="78" customFormat="1" ht="48.6" customHeight="1" thickBot="1" x14ac:dyDescent="0.6">
      <c r="B2" s="227" t="s">
        <v>3</v>
      </c>
      <c r="C2" s="227"/>
      <c r="D2" s="227"/>
      <c r="E2" s="227"/>
      <c r="F2" s="76"/>
      <c r="G2" s="227" t="s">
        <v>4</v>
      </c>
      <c r="H2" s="227"/>
      <c r="I2" s="227"/>
      <c r="J2" s="77"/>
      <c r="AF2" s="90"/>
    </row>
    <row r="3" spans="2:32" ht="134.1" customHeight="1" thickBot="1" x14ac:dyDescent="0.3">
      <c r="B3" s="100" t="str">
        <f>CONCATENATE("₹ ",ROUND($N$27,2)," / ",ROUND($M$27,2)," (",ROUND($O$27,3)*100,"%)")</f>
        <v>₹ 28.43 / 47.09 (60.4%)</v>
      </c>
      <c r="D3" s="4"/>
      <c r="E3" s="85" t="str">
        <f ca="1">CONCATENATE("₹ ",ROUND($N$11,2), "  |  ", "₹ ",ROUND($O$11,2))</f>
        <v>₹ 0  |  ₹ 28.88</v>
      </c>
      <c r="G3" s="240" t="str">
        <f ca="1">CONCATENATE($U$11, "    |    ", $T$11)</f>
        <v>25    |    35</v>
      </c>
      <c r="H3" s="241"/>
      <c r="I3" s="242"/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114" t="s">
        <v>16</v>
      </c>
      <c r="Y3" s="66"/>
      <c r="Z3" s="66"/>
    </row>
    <row r="4" spans="2:32" s="72" customFormat="1" ht="39" customHeight="1" thickBot="1" x14ac:dyDescent="0.45">
      <c r="B4" s="27" t="s">
        <v>8</v>
      </c>
      <c r="D4" s="73"/>
      <c r="E4" s="27" t="s">
        <v>17</v>
      </c>
      <c r="G4" s="243" t="s">
        <v>18</v>
      </c>
      <c r="H4" s="244"/>
      <c r="I4" s="245"/>
      <c r="L4" s="107" t="s">
        <v>19</v>
      </c>
      <c r="M4" s="80">
        <f>'[1]Project Summary'!$B$7</f>
        <v>187</v>
      </c>
      <c r="N4" s="101">
        <f>'[1]Project Summary'!$D$7</f>
        <v>0</v>
      </c>
      <c r="O4" s="101">
        <f>'[1]Project Summary'!$E$7</f>
        <v>4.4807138999999996</v>
      </c>
      <c r="P4" s="104">
        <f>'[1]Project Summary'!$F$7</f>
        <v>1</v>
      </c>
      <c r="Q4" s="79">
        <f>'[1]Project Summary'!$C$14</f>
        <v>206.6961451</v>
      </c>
      <c r="R4" s="79">
        <f>'[1]Project Summary'!$D$14</f>
        <v>205.6492499</v>
      </c>
      <c r="S4" s="79">
        <f>'[1]Project Summary'!$E$14</f>
        <v>3.6806382000000002</v>
      </c>
      <c r="T4" s="69">
        <f>'[1]Project Summary'!$D$21</f>
        <v>1</v>
      </c>
      <c r="U4" s="69">
        <f>'[1]Project Summary'!$F$21</f>
        <v>1</v>
      </c>
      <c r="V4" s="69">
        <f>'[1]Project Summary'!$Q$3</f>
        <v>0</v>
      </c>
      <c r="W4" s="81">
        <v>11.947644560000001</v>
      </c>
      <c r="X4" s="69">
        <f>'[1]Project Summary'!$R$3</f>
        <v>0</v>
      </c>
      <c r="Y4" s="74"/>
      <c r="Z4" s="75"/>
      <c r="AF4" s="92"/>
    </row>
    <row r="5" spans="2:32" ht="20.399999999999999" customHeight="1" thickBot="1" x14ac:dyDescent="0.3">
      <c r="L5" s="109" t="s">
        <v>20</v>
      </c>
      <c r="M5" s="69">
        <f>'[2]Project Summary'!$B$7</f>
        <v>105</v>
      </c>
      <c r="N5" s="102">
        <f ca="1">'[2]Project Summary'!$D$7</f>
        <v>0</v>
      </c>
      <c r="O5" s="102">
        <f>'[2]Project Summary'!$E$7</f>
        <v>8.6502189809523831</v>
      </c>
      <c r="P5" s="105">
        <f>'[2]Project Summary'!$F$7</f>
        <v>0</v>
      </c>
      <c r="Q5" s="82">
        <f>'[2]Project Summary'!$C$13</f>
        <v>101.85285759999999</v>
      </c>
      <c r="R5" s="82">
        <f>'[2]Project Summary'!$D$13</f>
        <v>96.866327980952377</v>
      </c>
      <c r="S5" s="82">
        <f>'[2]Project Summary'!$E$13</f>
        <v>5.9417039285714308</v>
      </c>
      <c r="T5" s="69">
        <f>'[2]Project Summary'!$D$20</f>
        <v>1</v>
      </c>
      <c r="U5" s="69">
        <f ca="1">'[2]Project Summary'!$F$20</f>
        <v>1</v>
      </c>
      <c r="V5" s="69">
        <f>'[2]Project Summary'!$Q$3</f>
        <v>1</v>
      </c>
      <c r="W5" s="83">
        <v>2.0392637142857142</v>
      </c>
      <c r="X5" s="69">
        <f>'[2]Project Summary'!$R$3</f>
        <v>0</v>
      </c>
      <c r="Y5" s="68">
        <f>'[2]Project Summary'!$R$3</f>
        <v>0</v>
      </c>
      <c r="Z5" s="66"/>
    </row>
    <row r="6" spans="2:32" ht="135" customHeight="1" thickBot="1" x14ac:dyDescent="0.3">
      <c r="B6" s="84">
        <f>$S$11</f>
        <v>16.644024080952384</v>
      </c>
      <c r="C6" s="8"/>
      <c r="D6" s="9"/>
      <c r="E6" s="85">
        <f>P27</f>
        <v>22.790000000000003</v>
      </c>
      <c r="G6" s="246" t="str">
        <f>CONCATENATE($P$11," / ",V11)</f>
        <v>16 / 25</v>
      </c>
      <c r="H6" s="247"/>
      <c r="I6" s="248"/>
      <c r="L6" s="109" t="s">
        <v>21</v>
      </c>
      <c r="M6" s="69">
        <f>'[3]Project Summary'!$B$7</f>
        <v>74</v>
      </c>
      <c r="N6" s="102">
        <f>'[3]Project Summary'!$D$7</f>
        <v>0</v>
      </c>
      <c r="O6" s="102">
        <f>'[3]Project Summary'!$E$7</f>
        <v>5.3060297722380962</v>
      </c>
      <c r="P6" s="105">
        <f>'[3]Project Summary'!$F$7</f>
        <v>4</v>
      </c>
      <c r="Q6" s="82">
        <f>'[3]Project Summary'!$C$13</f>
        <v>45.568174599999999</v>
      </c>
      <c r="R6" s="82">
        <f>'[3]Project Summary'!$D$13</f>
        <v>46.860068677000001</v>
      </c>
      <c r="S6" s="82">
        <f>'[3]Project Summary'!$E$13</f>
        <v>1.6152759666666665</v>
      </c>
      <c r="T6" s="69">
        <f>'[3]Project Summary'!$D$20</f>
        <v>15</v>
      </c>
      <c r="U6" s="69">
        <f>'[3]Project Summary'!$F$20</f>
        <v>10</v>
      </c>
      <c r="V6" s="69">
        <f>'[3]Project Summary'!$Q$3</f>
        <v>10</v>
      </c>
      <c r="W6" s="83">
        <v>1.4527025380952381</v>
      </c>
      <c r="X6" s="69">
        <f>'[3]Project Summary'!$R$3</f>
        <v>8</v>
      </c>
      <c r="Y6" s="68"/>
      <c r="Z6" s="66"/>
    </row>
    <row r="7" spans="2:32" s="28" customFormat="1" ht="40.35" customHeight="1" thickBot="1" x14ac:dyDescent="0.4">
      <c r="B7" s="27" t="s">
        <v>22</v>
      </c>
      <c r="C7" s="29"/>
      <c r="D7" s="29"/>
      <c r="E7" s="27" t="s">
        <v>23</v>
      </c>
      <c r="G7" s="238" t="s">
        <v>24</v>
      </c>
      <c r="H7" s="239"/>
      <c r="I7" s="249"/>
      <c r="L7" s="109" t="s">
        <v>25</v>
      </c>
      <c r="M7" s="69">
        <f>'[4]Project Summary'!$B$7</f>
        <v>50</v>
      </c>
      <c r="N7" s="102">
        <f>'[4]Project Summary'!$D$7</f>
        <v>0</v>
      </c>
      <c r="O7" s="102">
        <f>'[4]Project Summary'!$E$7</f>
        <v>3.9736440952380963</v>
      </c>
      <c r="P7" s="105">
        <f>'[4]Project Summary'!$F$7</f>
        <v>4</v>
      </c>
      <c r="Q7" s="82">
        <f>'[4]Project Summary'!$C$13</f>
        <v>33.941633299999999</v>
      </c>
      <c r="R7" s="82">
        <f>'[4]Project Summary'!$D$13</f>
        <v>33.694863347619048</v>
      </c>
      <c r="S7" s="82">
        <f>'[4]Project Summary'!$E$13</f>
        <v>0.58854869523809505</v>
      </c>
      <c r="T7" s="69">
        <f>'[4]Project Summary'!$D$20</f>
        <v>3</v>
      </c>
      <c r="U7" s="69">
        <f>'[4]Project Summary'!$F$20</f>
        <v>1</v>
      </c>
      <c r="V7" s="69">
        <f>'[4]Project Summary'!$Q$3</f>
        <v>7</v>
      </c>
      <c r="W7" s="83">
        <v>2.5358006040476195</v>
      </c>
      <c r="X7" s="69">
        <f>'[4]Project Summary'!$R$3</f>
        <v>6</v>
      </c>
      <c r="Y7" s="70"/>
      <c r="Z7" s="71"/>
      <c r="AF7" s="93"/>
    </row>
    <row r="8" spans="2:32" s="28" customFormat="1" ht="28.35" customHeight="1" x14ac:dyDescent="0.35">
      <c r="L8" s="109" t="s">
        <v>26</v>
      </c>
      <c r="M8" s="69">
        <f>'[5]Project Summary'!$B$7</f>
        <v>54</v>
      </c>
      <c r="N8" s="102">
        <f ca="1">'[5]Project Summary'!$D$7</f>
        <v>0</v>
      </c>
      <c r="O8" s="102">
        <f>'[5]Project Summary'!$E$7</f>
        <v>4.2654045571428583</v>
      </c>
      <c r="P8" s="105">
        <f>'[5]Project Summary'!$F$7</f>
        <v>7</v>
      </c>
      <c r="Q8" s="82">
        <f>'[5]Project Summary'!$C$13</f>
        <v>23.9863678</v>
      </c>
      <c r="R8" s="82">
        <f>'[5]Project Summary'!$D$13</f>
        <v>24.688711438095233</v>
      </c>
      <c r="S8" s="82">
        <f>'[5]Project Summary'!$E$13</f>
        <v>2.6275067904761897</v>
      </c>
      <c r="T8" s="69">
        <f>'[5]Project Summary'!$D$20</f>
        <v>11</v>
      </c>
      <c r="U8" s="69">
        <f ca="1">'[5]Project Summary'!$F$20</f>
        <v>8</v>
      </c>
      <c r="V8" s="69">
        <f>'[5]Project Summary'!$Q$3</f>
        <v>6</v>
      </c>
      <c r="W8" s="83"/>
      <c r="X8" s="69">
        <f>'[5]Project Summary'!$R$3</f>
        <v>6</v>
      </c>
      <c r="Y8" s="70"/>
      <c r="Z8" s="71"/>
      <c r="AF8" s="93"/>
    </row>
    <row r="9" spans="2:32" ht="18.600000000000001" customHeight="1" x14ac:dyDescent="0.25">
      <c r="L9" s="109" t="s">
        <v>27</v>
      </c>
      <c r="M9" s="69">
        <f>'[8]Project Summary'!$B$7</f>
        <v>94</v>
      </c>
      <c r="N9" s="102">
        <f>'[8]Project Summary'!$D$7</f>
        <v>0</v>
      </c>
      <c r="O9" s="103">
        <f>'[8]Project Summary'!$E$7</f>
        <v>0</v>
      </c>
      <c r="P9" s="106">
        <f>'[8]Project Summary'!$F$7</f>
        <v>0</v>
      </c>
      <c r="Q9" s="82">
        <f>'[8]Project Summary'!$C$13</f>
        <v>78.586592100000004</v>
      </c>
      <c r="R9" s="82">
        <f>'[8]Project Summary'!$D$13</f>
        <v>78.357736599999996</v>
      </c>
      <c r="S9" s="82">
        <f>'[8]Project Summary'!$E$13</f>
        <v>0.22885549999999999</v>
      </c>
      <c r="T9" s="69">
        <f>'[8]Project Summary'!$D$20</f>
        <v>1</v>
      </c>
      <c r="U9" s="69">
        <f>'[8]Project Summary'!$F$20</f>
        <v>1</v>
      </c>
      <c r="V9" s="69">
        <f>'[8]Project Summary'!$Q$3</f>
        <v>0</v>
      </c>
      <c r="W9" s="83">
        <v>2.3999062495049501</v>
      </c>
      <c r="X9" s="69">
        <f>'[8]Project Summary'!$R$3</f>
        <v>0</v>
      </c>
      <c r="Y9" s="68"/>
      <c r="Z9" s="66"/>
    </row>
    <row r="10" spans="2:32" ht="18" x14ac:dyDescent="0.25">
      <c r="L10" s="109" t="s">
        <v>28</v>
      </c>
      <c r="M10" s="69">
        <f>'[7]Project Summary'!$B$7</f>
        <v>24</v>
      </c>
      <c r="N10" s="102">
        <f ca="1">'[7]Project Summary'!$D$7</f>
        <v>0</v>
      </c>
      <c r="O10" s="103">
        <f>'[7]Project Summary'!$E$7</f>
        <v>2.2055190476190476</v>
      </c>
      <c r="P10" s="106">
        <f>'[7]Project Summary'!$F$7</f>
        <v>0</v>
      </c>
      <c r="Q10" s="82">
        <f>'[7]Project Summary'!$C$13</f>
        <v>19.816487599999999</v>
      </c>
      <c r="R10" s="82">
        <f>'[7]Project Summary'!$D$13</f>
        <v>18.298131247619047</v>
      </c>
      <c r="S10" s="82">
        <f>'[7]Project Summary'!$E$13</f>
        <v>1.961495</v>
      </c>
      <c r="T10" s="69">
        <f>'[7]Project Summary'!$D$20</f>
        <v>3</v>
      </c>
      <c r="U10" s="69">
        <f ca="1">'[7]Project Summary'!$F$20</f>
        <v>3</v>
      </c>
      <c r="V10" s="69">
        <f>'[7]Project Summary'!$Q$3</f>
        <v>1</v>
      </c>
      <c r="W10" s="83">
        <v>2.3999062495049501</v>
      </c>
      <c r="X10" s="69">
        <f>'[7]Project Summary'!$R$3</f>
        <v>1</v>
      </c>
      <c r="Y10" s="68"/>
      <c r="Z10" s="66"/>
    </row>
    <row r="11" spans="2:32" ht="17.399999999999999" x14ac:dyDescent="0.25">
      <c r="L11" s="116" t="s">
        <v>29</v>
      </c>
      <c r="M11" s="117">
        <f>SUM(M4:M10)</f>
        <v>588</v>
      </c>
      <c r="N11" s="118">
        <f t="shared" ref="N11:W11" ca="1" si="0">SUM(N4:N10)</f>
        <v>0</v>
      </c>
      <c r="O11" s="118">
        <f>SUM(O4:O10)</f>
        <v>28.881530353190481</v>
      </c>
      <c r="P11" s="119">
        <f t="shared" si="0"/>
        <v>16</v>
      </c>
      <c r="Q11" s="120">
        <f t="shared" si="0"/>
        <v>510.44825809999998</v>
      </c>
      <c r="R11" s="120">
        <f t="shared" si="0"/>
        <v>504.41508919128574</v>
      </c>
      <c r="S11" s="120">
        <f t="shared" si="0"/>
        <v>16.644024080952384</v>
      </c>
      <c r="T11" s="121">
        <f t="shared" si="0"/>
        <v>35</v>
      </c>
      <c r="U11" s="121">
        <f t="shared" ca="1" si="0"/>
        <v>25</v>
      </c>
      <c r="V11" s="121">
        <f t="shared" si="0"/>
        <v>25</v>
      </c>
      <c r="W11" s="122">
        <f t="shared" si="0"/>
        <v>22.775223915438474</v>
      </c>
      <c r="X11" s="119">
        <f>SUM(X4:X10)</f>
        <v>21</v>
      </c>
      <c r="Y11" s="66"/>
      <c r="Z11" s="66"/>
    </row>
    <row r="12" spans="2:32" x14ac:dyDescent="0.25">
      <c r="Y12" s="66"/>
      <c r="Z12" s="66"/>
    </row>
    <row r="13" spans="2:32" x14ac:dyDescent="0.25">
      <c r="Y13" s="66"/>
      <c r="Z13" s="66"/>
    </row>
    <row r="14" spans="2:32" x14ac:dyDescent="0.25">
      <c r="Y14" s="66"/>
      <c r="Z14" s="66"/>
    </row>
    <row r="15" spans="2:32" ht="35.1" customHeight="1" x14ac:dyDescent="0.25">
      <c r="Y15" s="66"/>
      <c r="Z15" s="66"/>
    </row>
    <row r="16" spans="2:32" x14ac:dyDescent="0.25">
      <c r="B16" s="10"/>
      <c r="C16" s="10"/>
      <c r="D16" s="12"/>
      <c r="E16" s="12"/>
      <c r="F16" s="12"/>
    </row>
    <row r="18" spans="2:32" ht="22.8" x14ac:dyDescent="0.25">
      <c r="L18" s="232" t="s">
        <v>30</v>
      </c>
      <c r="M18" s="232"/>
      <c r="N18" s="232"/>
      <c r="O18" s="232"/>
      <c r="S18" s="231" t="s">
        <v>31</v>
      </c>
      <c r="T18" s="231"/>
      <c r="U18" s="231"/>
      <c r="V18" s="231"/>
      <c r="AF18" s="1"/>
    </row>
    <row r="19" spans="2:32" ht="30.75" customHeight="1" x14ac:dyDescent="0.25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91"/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.2" x14ac:dyDescent="0.25">
      <c r="B20" s="16"/>
      <c r="C20" s="16"/>
      <c r="D20" s="17"/>
      <c r="L20" s="30" t="s">
        <v>40</v>
      </c>
      <c r="M20" s="18">
        <f>'[1]Project Summary'!$I$13</f>
        <v>6.2309036000000004</v>
      </c>
      <c r="N20" s="18">
        <f>'[1]Project Summary'!$J$13</f>
        <v>4.4100472000000002</v>
      </c>
      <c r="O20" s="19">
        <f t="shared" ref="O20:O25" si="1">N20/M20</f>
        <v>0.70777008971860833</v>
      </c>
      <c r="P20" s="18">
        <f>'[1]Project Summary'!$L$13</f>
        <v>2.2400000000000002</v>
      </c>
      <c r="Q20" s="153">
        <f>M20-N20</f>
        <v>1.8208564000000003</v>
      </c>
      <c r="S20" s="65" t="s">
        <v>41</v>
      </c>
      <c r="T20" s="64">
        <f>M43</f>
        <v>13.627007200000001</v>
      </c>
      <c r="U20" s="64">
        <f>N43</f>
        <v>7.0392804246190455</v>
      </c>
      <c r="V20" s="88">
        <f>O43</f>
        <v>0.5165683353142313</v>
      </c>
      <c r="W20" s="64">
        <f>P43</f>
        <v>7.2400000000000011</v>
      </c>
      <c r="X20" s="63">
        <f>T20-W20</f>
        <v>6.3870072000000002</v>
      </c>
      <c r="AF20" s="1"/>
    </row>
    <row r="21" spans="2:32" ht="31.2" x14ac:dyDescent="0.25">
      <c r="L21" s="30" t="s">
        <v>42</v>
      </c>
      <c r="M21" s="18">
        <f>'[2]Project Summary'!$I$13</f>
        <v>14.267345199999999</v>
      </c>
      <c r="N21" s="18">
        <f>'[2]Project Summary'!$J$13</f>
        <v>8.6502189809523795</v>
      </c>
      <c r="O21" s="19">
        <f t="shared" si="1"/>
        <v>0.60629492450721523</v>
      </c>
      <c r="P21" s="18">
        <f>'[2]Project Summary'!$L$13</f>
        <v>0.68</v>
      </c>
      <c r="Q21" s="153">
        <f t="shared" ref="Q21:Q27" si="2">M21-N21</f>
        <v>5.6171262190476199</v>
      </c>
      <c r="S21" s="65" t="s">
        <v>43</v>
      </c>
      <c r="T21" s="64">
        <f>Q43</f>
        <v>1.9380641000000001</v>
      </c>
      <c r="U21" s="64">
        <f>R43</f>
        <v>0.90137076190476173</v>
      </c>
      <c r="V21" s="88">
        <f>S43</f>
        <v>0.46508820936560441</v>
      </c>
      <c r="W21" s="64">
        <f>T43</f>
        <v>0.2</v>
      </c>
      <c r="X21" s="63">
        <f t="shared" ref="X21:X23" si="3">T21-W21</f>
        <v>1.7380641000000001</v>
      </c>
      <c r="AF21" s="1"/>
    </row>
    <row r="22" spans="2:32" ht="31.5" customHeight="1" x14ac:dyDescent="0.25">
      <c r="L22" s="30" t="s">
        <v>44</v>
      </c>
      <c r="M22" s="18">
        <f>'[3]Project Summary'!$I$13</f>
        <v>8.5662664999999993</v>
      </c>
      <c r="N22" s="18">
        <f>'[3]Project Summary'!$J$13</f>
        <v>5.0352060579523812</v>
      </c>
      <c r="O22" s="19">
        <f t="shared" si="1"/>
        <v>0.58779470122163269</v>
      </c>
      <c r="P22" s="18">
        <f>'[3]Project Summary'!$L$13</f>
        <v>6.35</v>
      </c>
      <c r="Q22" s="153">
        <f t="shared" si="2"/>
        <v>3.5310604420476182</v>
      </c>
      <c r="S22" s="65" t="s">
        <v>45</v>
      </c>
      <c r="T22" s="64">
        <f>U43</f>
        <v>0</v>
      </c>
      <c r="U22" s="64">
        <f>V43</f>
        <v>0.36691961904761905</v>
      </c>
      <c r="V22" s="88" t="e">
        <f>W43</f>
        <v>#DIV/0!</v>
      </c>
      <c r="W22" s="64">
        <f>X43</f>
        <v>0</v>
      </c>
      <c r="X22" s="63">
        <f t="shared" si="3"/>
        <v>0</v>
      </c>
      <c r="AF22" s="1"/>
    </row>
    <row r="23" spans="2:32" ht="69" customHeight="1" x14ac:dyDescent="0.25">
      <c r="L23" s="30" t="s">
        <v>46</v>
      </c>
      <c r="M23" s="18">
        <f>'[4]Project Summary'!$I$13</f>
        <v>7.7708970000000006</v>
      </c>
      <c r="N23" s="18">
        <f>'[4]Project Summary'!$J$13</f>
        <v>3.9198344761904762</v>
      </c>
      <c r="O23" s="19">
        <f>N23/M23</f>
        <v>0.50442496872503595</v>
      </c>
      <c r="P23" s="18">
        <f>'[4]Project Summary'!$L$13</f>
        <v>5.05</v>
      </c>
      <c r="Q23" s="153">
        <f t="shared" si="2"/>
        <v>3.8510625238095244</v>
      </c>
      <c r="S23" s="65" t="str">
        <f>CONCATENATE("Demand For Registrations 
post 20th of last month")</f>
        <v>Demand For Registrations 
post 20th of last month</v>
      </c>
      <c r="T23" s="64">
        <f>Y43</f>
        <v>5.4110873000000002</v>
      </c>
      <c r="U23" s="64">
        <f>Z43</f>
        <v>5.5059146142857145</v>
      </c>
      <c r="V23" s="88">
        <f>AA43</f>
        <v>1.017524632117045</v>
      </c>
      <c r="W23" s="64">
        <f>AB43</f>
        <v>5.41</v>
      </c>
      <c r="X23" s="63">
        <f t="shared" si="3"/>
        <v>1.0873000000000133E-3</v>
      </c>
      <c r="AF23" s="1"/>
    </row>
    <row r="24" spans="2:32" ht="34.799999999999997" x14ac:dyDescent="0.25">
      <c r="L24" s="123" t="s">
        <v>47</v>
      </c>
      <c r="M24" s="18">
        <f>'[5]Project Summary'!$I$13</f>
        <v>5.5341277</v>
      </c>
      <c r="N24" s="18">
        <f>'[5]Project Summary'!$J$13</f>
        <v>4.2083466523809534</v>
      </c>
      <c r="O24" s="19">
        <f>N24/M24</f>
        <v>0.76043540744116789</v>
      </c>
      <c r="P24" s="18">
        <f>'[5]Project Summary'!$L$13</f>
        <v>4.17</v>
      </c>
      <c r="Q24" s="153">
        <f>P24-3.01</f>
        <v>1.1600000000000001</v>
      </c>
      <c r="S24" s="65" t="str">
        <f>CONCATENATE("Expected New Monthly
Registrations")</f>
        <v>Expected New Monthly
Registrations</v>
      </c>
      <c r="T24" s="64">
        <f>AC43</f>
        <v>13.69</v>
      </c>
      <c r="U24" s="64">
        <f>AD43</f>
        <v>6.7300527095238092</v>
      </c>
      <c r="V24" s="88">
        <f>AE43</f>
        <v>0.49160355803680128</v>
      </c>
      <c r="W24" s="64">
        <f>AF43</f>
        <v>9.3699999999999992</v>
      </c>
      <c r="X24" s="63">
        <f>T24-W24</f>
        <v>4.32</v>
      </c>
      <c r="AF24" s="1"/>
    </row>
    <row r="25" spans="2:32" ht="47.25" customHeight="1" x14ac:dyDescent="0.25">
      <c r="L25" s="30" t="s">
        <v>48</v>
      </c>
      <c r="M25" s="18">
        <f>'[8]Project Summary'!$I$13</f>
        <v>0.23</v>
      </c>
      <c r="N25" s="18">
        <f>'[8]Project Summary'!$J$13</f>
        <v>0</v>
      </c>
      <c r="O25" s="19">
        <f t="shared" si="1"/>
        <v>0</v>
      </c>
      <c r="P25" s="18">
        <f>'[8]Project Summary'!$L$13</f>
        <v>0</v>
      </c>
      <c r="Q25" s="153">
        <f t="shared" si="2"/>
        <v>0.23</v>
      </c>
      <c r="S25" s="65" t="s">
        <v>49</v>
      </c>
      <c r="T25" s="64">
        <f>AG43</f>
        <v>12.419999999999998</v>
      </c>
      <c r="U25" s="64">
        <f>AH43</f>
        <v>8.2525539047619052</v>
      </c>
      <c r="V25" s="88">
        <f>AI43</f>
        <v>0.66445683613219864</v>
      </c>
      <c r="W25" s="64">
        <f>AJ43</f>
        <v>0.57000000000000006</v>
      </c>
      <c r="X25" s="63">
        <f>T25-W25</f>
        <v>11.849999999999998</v>
      </c>
      <c r="AF25" s="1"/>
    </row>
    <row r="26" spans="2:32" ht="27.6" x14ac:dyDescent="0.25">
      <c r="L26" s="30" t="s">
        <v>50</v>
      </c>
      <c r="M26" s="18">
        <f>'[7]Project Summary'!$I$13</f>
        <v>4.4866185999999999</v>
      </c>
      <c r="N26" s="18">
        <f>'[7]Project Summary'!$J$13</f>
        <v>2.2055190476190476</v>
      </c>
      <c r="O26" s="19">
        <f>'[7]Project Summary'!$K$13</f>
        <v>0.49157711948571864</v>
      </c>
      <c r="P26" s="18">
        <f>'[7]Project Summary'!$L$13</f>
        <v>4.3</v>
      </c>
      <c r="Q26" s="153">
        <f t="shared" si="2"/>
        <v>2.2810995523809523</v>
      </c>
      <c r="AF26" s="1"/>
    </row>
    <row r="27" spans="2:32" ht="26.4" customHeight="1" x14ac:dyDescent="0.25">
      <c r="L27" s="24" t="s">
        <v>51</v>
      </c>
      <c r="M27" s="18">
        <f>SUM(M20:M26)</f>
        <v>47.08615859999999</v>
      </c>
      <c r="N27" s="18">
        <f>SUM(N20:N26)</f>
        <v>28.429172415095241</v>
      </c>
      <c r="O27" s="19">
        <f>N27/M27</f>
        <v>0.60376920225331876</v>
      </c>
      <c r="P27" s="18">
        <f>SUM(P20:P26)</f>
        <v>22.790000000000003</v>
      </c>
      <c r="Q27" s="153">
        <f t="shared" si="2"/>
        <v>18.656986184904749</v>
      </c>
      <c r="AF27" s="1"/>
    </row>
    <row r="28" spans="2:32" ht="14.4" x14ac:dyDescent="0.3">
      <c r="P28" s="86"/>
      <c r="Q28" s="10"/>
      <c r="AF28" s="1"/>
    </row>
    <row r="29" spans="2:32" ht="14.4" x14ac:dyDescent="0.3">
      <c r="P29" s="86"/>
      <c r="AF29" s="1"/>
    </row>
    <row r="30" spans="2:32" ht="37.35" customHeight="1" x14ac:dyDescent="0.25">
      <c r="E30" s="148"/>
      <c r="L30" s="89"/>
      <c r="M30" s="89"/>
      <c r="N30" s="94"/>
      <c r="O30" s="89"/>
      <c r="AF30" s="1"/>
    </row>
    <row r="31" spans="2:32" x14ac:dyDescent="0.25">
      <c r="AF31" s="1"/>
    </row>
    <row r="32" spans="2:32" ht="15.6" x14ac:dyDescent="0.25">
      <c r="L32" s="54"/>
      <c r="M32" s="54"/>
      <c r="N32" s="54"/>
      <c r="O32" s="54"/>
      <c r="P32" s="54"/>
      <c r="Q32" s="54"/>
    </row>
    <row r="33" spans="7:40" ht="24" customHeight="1" thickBot="1" x14ac:dyDescent="0.3">
      <c r="L33" s="55"/>
      <c r="M33" s="56"/>
      <c r="N33" s="56"/>
      <c r="O33" s="56"/>
      <c r="P33" s="56"/>
      <c r="Q33" s="56"/>
    </row>
    <row r="34" spans="7:40" ht="32.1" customHeight="1" thickBot="1" x14ac:dyDescent="0.3">
      <c r="L34" s="55"/>
      <c r="M34" s="228" t="s">
        <v>52</v>
      </c>
      <c r="N34" s="229"/>
      <c r="O34" s="229"/>
      <c r="P34" s="233"/>
      <c r="Q34" s="228" t="s">
        <v>53</v>
      </c>
      <c r="R34" s="229"/>
      <c r="S34" s="229"/>
      <c r="T34" s="230"/>
      <c r="U34" s="234" t="str">
        <f>CONCATENATE("OCR - Expected New Bookings in"," Sept")</f>
        <v>OCR - Expected New Bookings in Sept</v>
      </c>
      <c r="V34" s="229"/>
      <c r="W34" s="229"/>
      <c r="X34" s="233"/>
      <c r="Y34" s="228" t="str">
        <f>CONCATENATE("Demand Raised for Registrations after ","20 April 2024")</f>
        <v>Demand Raised for Registrations after 20 April 2024</v>
      </c>
      <c r="Z34" s="229"/>
      <c r="AA34" s="229"/>
      <c r="AB34" s="233"/>
      <c r="AC34" s="228" t="str">
        <f ca="1">CONCATENATE("Expected Registrations in August ",$D$3,"'",$E$3," ")</f>
        <v xml:space="preserve">Expected Registrations in August '₹ 0  |  ₹ 28.88 </v>
      </c>
      <c r="AD34" s="229"/>
      <c r="AE34" s="229"/>
      <c r="AF34" s="233"/>
      <c r="AG34" s="228" t="s">
        <v>54</v>
      </c>
      <c r="AH34" s="229"/>
      <c r="AI34" s="229"/>
      <c r="AJ34" s="230"/>
    </row>
    <row r="35" spans="7:40" ht="31.8" thickBot="1" x14ac:dyDescent="0.3">
      <c r="L35" s="135" t="s">
        <v>55</v>
      </c>
      <c r="M35" s="13" t="s">
        <v>56</v>
      </c>
      <c r="N35" s="15" t="s">
        <v>57</v>
      </c>
      <c r="O35" s="15" t="s">
        <v>35</v>
      </c>
      <c r="P35" s="144" t="s">
        <v>38</v>
      </c>
      <c r="Q35" s="13" t="s">
        <v>56</v>
      </c>
      <c r="R35" s="15" t="s">
        <v>57</v>
      </c>
      <c r="S35" s="15" t="s">
        <v>35</v>
      </c>
      <c r="T35" s="34" t="s">
        <v>38</v>
      </c>
      <c r="U35" s="131" t="s">
        <v>56</v>
      </c>
      <c r="V35" s="15" t="s">
        <v>57</v>
      </c>
      <c r="W35" s="15" t="s">
        <v>35</v>
      </c>
      <c r="X35" s="144" t="s">
        <v>38</v>
      </c>
      <c r="Y35" s="13" t="s">
        <v>56</v>
      </c>
      <c r="Z35" s="15" t="s">
        <v>57</v>
      </c>
      <c r="AA35" s="15" t="s">
        <v>35</v>
      </c>
      <c r="AB35" s="144" t="s">
        <v>38</v>
      </c>
      <c r="AC35" s="13" t="s">
        <v>56</v>
      </c>
      <c r="AD35" s="15" t="s">
        <v>57</v>
      </c>
      <c r="AE35" s="15" t="s">
        <v>35</v>
      </c>
      <c r="AF35" s="144" t="s">
        <v>38</v>
      </c>
      <c r="AG35" s="13" t="s">
        <v>56</v>
      </c>
      <c r="AH35" s="15" t="s">
        <v>57</v>
      </c>
      <c r="AI35" s="15" t="s">
        <v>35</v>
      </c>
      <c r="AJ35" s="34" t="s">
        <v>38</v>
      </c>
    </row>
    <row r="36" spans="7:40" ht="101.4" customHeight="1" x14ac:dyDescent="0.25">
      <c r="G36" s="1" t="s">
        <v>58</v>
      </c>
      <c r="I36" s="150"/>
      <c r="L36" s="136" t="s">
        <v>59</v>
      </c>
      <c r="M36" s="141">
        <f>'[1]Project Summary'!$I$7</f>
        <v>6.0278847000000004</v>
      </c>
      <c r="N36" s="128">
        <f>'[1]Project Summary'!$J$7</f>
        <v>2.5798586000000001</v>
      </c>
      <c r="O36" s="129">
        <f t="shared" ref="O36:O42" si="4">N36/M36</f>
        <v>0.4279873833684974</v>
      </c>
      <c r="P36" s="145">
        <f>'[1]Project Summary'!$L$7</f>
        <v>2.04</v>
      </c>
      <c r="Q36" s="141">
        <f>'[1]Project Summary'!$I$8</f>
        <v>0.2030189</v>
      </c>
      <c r="R36" s="128">
        <f>'[1]Project Summary'!$J$8</f>
        <v>0</v>
      </c>
      <c r="S36" s="129">
        <f t="shared" ref="S36:S42" si="5">R36/Q36</f>
        <v>0</v>
      </c>
      <c r="T36" s="130">
        <f>'[1]Project Summary'!$L$8</f>
        <v>0.2</v>
      </c>
      <c r="U36" s="132">
        <f>'[1]Project Summary'!$I$9</f>
        <v>0</v>
      </c>
      <c r="V36" s="128">
        <f>'[1]Project Summary'!$J$9</f>
        <v>0</v>
      </c>
      <c r="W36" s="129" t="e">
        <f t="shared" ref="W36:W42" si="6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>Z36/Y36</f>
        <v>#DIV/0!</v>
      </c>
      <c r="AB36" s="145">
        <f>'[1]Project Summary'!$L$10</f>
        <v>0</v>
      </c>
      <c r="AC36" s="141">
        <f>'[1]Project Summary'!$I$11</f>
        <v>0</v>
      </c>
      <c r="AD36" s="128">
        <f>'[1]Project Summary'!$J$11</f>
        <v>1.8301886000000001</v>
      </c>
      <c r="AE36" s="129" t="e">
        <f>AD36/AC36</f>
        <v>#DIV/0!</v>
      </c>
      <c r="AF36" s="145">
        <f>'[1]Project Summary'!$L$11</f>
        <v>0</v>
      </c>
      <c r="AG36" s="141">
        <f>'[1]Project Summary'!$I$12</f>
        <v>0</v>
      </c>
      <c r="AH36" s="128">
        <f>'[1]Project Summary'!$J$12</f>
        <v>0</v>
      </c>
      <c r="AI36" s="129" t="e">
        <f t="shared" ref="AI36:AI42" si="7">AH36/AG36</f>
        <v>#DIV/0!</v>
      </c>
      <c r="AJ36" s="130">
        <f>'[1]Project Summary'!$L$12</f>
        <v>0</v>
      </c>
      <c r="AL36" s="87"/>
      <c r="AN36" s="87"/>
    </row>
    <row r="37" spans="7:40" ht="155.4" customHeight="1" x14ac:dyDescent="0.25">
      <c r="I37" s="150"/>
      <c r="L37" s="137" t="s">
        <v>60</v>
      </c>
      <c r="M37" s="142">
        <f>'[2]Project Summary'!$I$7</f>
        <v>2.4173452000000002</v>
      </c>
      <c r="N37" s="63">
        <f>'[2]Project Summary'!$J$7</f>
        <v>1.1720278380952358</v>
      </c>
      <c r="O37" s="88">
        <f t="shared" si="4"/>
        <v>0.48484090650157691</v>
      </c>
      <c r="P37" s="146">
        <f>'[2]Project Summary'!$L$7</f>
        <v>0.68</v>
      </c>
      <c r="Q37" s="142">
        <f>'[2]Project Summary'!$I$8</f>
        <v>0</v>
      </c>
      <c r="R37" s="63">
        <f>'[2]Project Summary'!$J$8</f>
        <v>0</v>
      </c>
      <c r="S37" s="88" t="e">
        <f t="shared" si="5"/>
        <v>#DIV/0!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6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ref="AA37:AA42" si="8">Z37/Y37</f>
        <v>#DIV/0!</v>
      </c>
      <c r="AB37" s="146">
        <f>'[2]Project Summary'!$L$10</f>
        <v>0</v>
      </c>
      <c r="AC37" s="142">
        <f>'[2]Project Summary'!$I$11</f>
        <v>0</v>
      </c>
      <c r="AD37" s="63">
        <f>'[2]Project Summary'!$J$11</f>
        <v>0</v>
      </c>
      <c r="AE37" s="88" t="e">
        <f t="shared" ref="AE37:AE42" si="9">AD37/AC37</f>
        <v>#DIV/0!</v>
      </c>
      <c r="AF37" s="146">
        <f>'[2]Project Summary'!$L$11</f>
        <v>0</v>
      </c>
      <c r="AG37" s="142">
        <f>'[2]Project Summary'!$I$12</f>
        <v>11.85</v>
      </c>
      <c r="AH37" s="63">
        <f>'[2]Project Summary'!$J$12</f>
        <v>7.4781911428571437</v>
      </c>
      <c r="AI37" s="88">
        <f t="shared" si="7"/>
        <v>0.63107098251959015</v>
      </c>
      <c r="AJ37" s="124">
        <f>'[2]Project Summary'!$L$12</f>
        <v>0</v>
      </c>
      <c r="AK37" s="149">
        <f>AJ37/AG37</f>
        <v>0</v>
      </c>
      <c r="AL37" s="87"/>
      <c r="AN37" s="87"/>
    </row>
    <row r="38" spans="7:40" ht="38.1" customHeight="1" x14ac:dyDescent="0.25">
      <c r="I38" s="148"/>
      <c r="L38" s="30" t="s">
        <v>44</v>
      </c>
      <c r="M38" s="142">
        <f>'[3]Project Summary'!$I$7</f>
        <v>2.2269663999999998</v>
      </c>
      <c r="N38" s="63">
        <f>'[3]Project Summary'!$J$7</f>
        <v>1.6921174722380952</v>
      </c>
      <c r="O38" s="88">
        <f t="shared" si="4"/>
        <v>0.75983071511006872</v>
      </c>
      <c r="P38" s="146">
        <f>'[3]Project Summary'!$L$7</f>
        <v>2.08</v>
      </c>
      <c r="Q38" s="142">
        <f>'[3]Project Summary'!$I$8</f>
        <v>0.48930010000000002</v>
      </c>
      <c r="R38" s="63">
        <f>'[3]Project Summary'!$J$8</f>
        <v>0.51428571428571412</v>
      </c>
      <c r="S38" s="88">
        <f t="shared" si="5"/>
        <v>1.0510639876953103</v>
      </c>
      <c r="T38" s="124">
        <f>'[3]Project Summary'!$L$8</f>
        <v>0</v>
      </c>
      <c r="U38" s="133">
        <f>'[3]Project Summary'!$I$9</f>
        <v>0</v>
      </c>
      <c r="V38" s="63">
        <f>'[3]Project Summary'!$J$9</f>
        <v>0.3184427619047619</v>
      </c>
      <c r="W38" s="88" t="e">
        <f t="shared" si="6"/>
        <v>#DIV/0!</v>
      </c>
      <c r="X38" s="146">
        <f>'[3]Project Summary'!$L$9</f>
        <v>0</v>
      </c>
      <c r="Y38" s="142">
        <f>'[3]Project Summary'!$I$10</f>
        <v>0.39</v>
      </c>
      <c r="Z38" s="63">
        <f>'[3]Project Summary'!$J$10</f>
        <v>0.3055852476190476</v>
      </c>
      <c r="AA38" s="88">
        <f t="shared" si="8"/>
        <v>0.78355191697191684</v>
      </c>
      <c r="AB38" s="146">
        <f>'[3]Project Summary'!$L$10</f>
        <v>0.39</v>
      </c>
      <c r="AC38" s="142">
        <f>'[3]Project Summary'!$I$11</f>
        <v>5.46</v>
      </c>
      <c r="AD38" s="63">
        <f>'[3]Project Summary'!$J$11</f>
        <v>1.9107596238095239</v>
      </c>
      <c r="AE38" s="88">
        <f t="shared" si="9"/>
        <v>0.34995597505668935</v>
      </c>
      <c r="AF38" s="146">
        <f>'[3]Project Summary'!$L$11</f>
        <v>3.88</v>
      </c>
      <c r="AG38" s="142">
        <f>'[3]Project Summary'!$I$12</f>
        <v>0</v>
      </c>
      <c r="AH38" s="63">
        <f>'[3]Project Summary'!$J$12</f>
        <v>0.61245799999999995</v>
      </c>
      <c r="AI38" s="88" t="e">
        <f t="shared" si="7"/>
        <v>#DIV/0!</v>
      </c>
      <c r="AJ38" s="124">
        <f>'[3]Project Summary'!$L$12</f>
        <v>0</v>
      </c>
      <c r="AL38" s="87"/>
      <c r="AN38" s="87"/>
    </row>
    <row r="39" spans="7:40" ht="91.35" customHeight="1" x14ac:dyDescent="0.25">
      <c r="I39" s="150"/>
      <c r="L39" s="137" t="s">
        <v>61</v>
      </c>
      <c r="M39" s="142">
        <f>'[4]Project Summary'!$I$7</f>
        <v>0.45724209999999998</v>
      </c>
      <c r="N39" s="63">
        <f>'[4]Project Summary'!$J$7</f>
        <v>0.33286333333333334</v>
      </c>
      <c r="O39" s="88">
        <f t="shared" si="4"/>
        <v>0.72798050164963668</v>
      </c>
      <c r="P39" s="146">
        <f>'[4]Project Summary'!$L$7</f>
        <v>0.46</v>
      </c>
      <c r="Q39" s="142">
        <f>'[4]Project Summary'!$I$8</f>
        <v>0.49365490000000001</v>
      </c>
      <c r="R39" s="63">
        <f>'[4]Project Summary'!$J$8</f>
        <v>3.5090285714285713E-2</v>
      </c>
      <c r="S39" s="88">
        <f t="shared" si="5"/>
        <v>7.1082624145502676E-2</v>
      </c>
      <c r="T39" s="124">
        <f>'[4]Project Summary'!$L$8</f>
        <v>0</v>
      </c>
      <c r="U39" s="133">
        <f>'[4]Project Summary'!$I$9</f>
        <v>0</v>
      </c>
      <c r="V39" s="63">
        <f>'[4]Project Summary'!$J$9</f>
        <v>9.4285714285714285E-3</v>
      </c>
      <c r="W39" s="88" t="e">
        <f t="shared" si="6"/>
        <v>#DIV/0!</v>
      </c>
      <c r="X39" s="146">
        <f>'[4]Project Summary'!$L$9</f>
        <v>0</v>
      </c>
      <c r="Y39" s="142">
        <f>'[4]Project Summary'!$I$10</f>
        <v>2.4300000000000002</v>
      </c>
      <c r="Z39" s="63">
        <f>'[4]Project Summary'!$J$10</f>
        <v>2.8829240952380957</v>
      </c>
      <c r="AA39" s="88">
        <f t="shared" si="8"/>
        <v>1.186388516558887</v>
      </c>
      <c r="AB39" s="146">
        <f>'[4]Project Summary'!$L$10</f>
        <v>2.4300000000000002</v>
      </c>
      <c r="AC39" s="142">
        <f>'[4]Project Summary'!$I$11</f>
        <v>4.1100000000000003</v>
      </c>
      <c r="AD39" s="63">
        <f>'[4]Project Summary'!$J$11</f>
        <v>0.50705199999999995</v>
      </c>
      <c r="AE39" s="88">
        <f t="shared" si="9"/>
        <v>0.12337031630170314</v>
      </c>
      <c r="AF39" s="146">
        <f>'[4]Project Summary'!$L$11</f>
        <v>1.88</v>
      </c>
      <c r="AG39" s="142">
        <f>'[4]Project Summary'!$I$12</f>
        <v>0.28000000000000003</v>
      </c>
      <c r="AH39" s="63">
        <f>'[4]Project Summary'!$J$12</f>
        <v>0.16190476190476188</v>
      </c>
      <c r="AI39" s="88">
        <f t="shared" si="7"/>
        <v>0.57823129251700667</v>
      </c>
      <c r="AJ39" s="124">
        <f>'[4]Project Summary'!$L$12</f>
        <v>0.28000000000000003</v>
      </c>
      <c r="AL39" s="87"/>
      <c r="AN39" s="87"/>
    </row>
    <row r="40" spans="7:40" ht="65.400000000000006" customHeight="1" x14ac:dyDescent="0.25">
      <c r="I40" s="150"/>
      <c r="L40" s="138" t="s">
        <v>47</v>
      </c>
      <c r="M40" s="142">
        <f>'[5]Project Summary'!$I$7</f>
        <v>0.45095040000000003</v>
      </c>
      <c r="N40" s="63">
        <f>'[5]Project Summary'!$J$7</f>
        <v>0.78622270476190481</v>
      </c>
      <c r="O40" s="88">
        <f t="shared" si="4"/>
        <v>1.7434793377761828</v>
      </c>
      <c r="P40" s="146">
        <f>'[5]Project Summary'!$L$7</f>
        <v>0.16</v>
      </c>
      <c r="Q40" s="142">
        <f>'[5]Project Summary'!$I$8</f>
        <v>0.56209019999999998</v>
      </c>
      <c r="R40" s="63">
        <f>'[5]Project Summary'!$J$8</f>
        <v>0.1680952380952381</v>
      </c>
      <c r="S40" s="88">
        <f t="shared" si="5"/>
        <v>0.29905384953382591</v>
      </c>
      <c r="T40" s="124">
        <f>'[5]Project Summary'!$L$8</f>
        <v>0</v>
      </c>
      <c r="U40" s="133">
        <f>'[5]Project Summary'!$I$9</f>
        <v>0</v>
      </c>
      <c r="V40" s="63">
        <f>'[5]Project Summary'!$J$9</f>
        <v>3.9048285714285716E-2</v>
      </c>
      <c r="W40" s="88" t="e">
        <f t="shared" si="6"/>
        <v>#DIV/0!</v>
      </c>
      <c r="X40" s="146">
        <f>'[5]Project Summary'!$L$9</f>
        <v>0</v>
      </c>
      <c r="Y40" s="142">
        <f>'[5]Project Summary'!$I$10</f>
        <v>1.4410871000000001</v>
      </c>
      <c r="Z40" s="63">
        <f>'[5]Project Summary'!$J$10</f>
        <v>0.77197622380952391</v>
      </c>
      <c r="AA40" s="88">
        <f t="shared" si="8"/>
        <v>0.53569019097424708</v>
      </c>
      <c r="AB40" s="146">
        <f>'[5]Project Summary'!$L$10</f>
        <v>1.44</v>
      </c>
      <c r="AC40" s="142">
        <f>'[5]Project Summary'!$I$11</f>
        <v>2.79</v>
      </c>
      <c r="AD40" s="63">
        <f>'[5]Project Summary'!$J$11</f>
        <v>2.4820524857142856</v>
      </c>
      <c r="AE40" s="88">
        <f t="shared" si="9"/>
        <v>0.88962454685099845</v>
      </c>
      <c r="AF40" s="146">
        <f>'[5]Project Summary'!$L$11</f>
        <v>2.2799999999999998</v>
      </c>
      <c r="AG40" s="142">
        <f>'[5]Project Summary'!$I$12</f>
        <v>0.28999999999999998</v>
      </c>
      <c r="AH40" s="63">
        <f>'[5]Project Summary'!$J$12</f>
        <v>0</v>
      </c>
      <c r="AI40" s="88">
        <f t="shared" si="7"/>
        <v>0</v>
      </c>
      <c r="AJ40" s="124">
        <f>'[5]Project Summary'!$L$12</f>
        <v>0.28999999999999998</v>
      </c>
      <c r="AL40" s="87"/>
      <c r="AN40" s="87"/>
    </row>
    <row r="41" spans="7:40" ht="38.1" customHeight="1" x14ac:dyDescent="0.25">
      <c r="I41" s="151"/>
      <c r="L41" s="139" t="s">
        <v>62</v>
      </c>
      <c r="M41" s="142">
        <f>'[8]Project Summary'!$I$7</f>
        <v>0.23</v>
      </c>
      <c r="N41" s="63">
        <f>'[8]Project Summary'!$J$7</f>
        <v>0</v>
      </c>
      <c r="O41" s="88">
        <f t="shared" si="4"/>
        <v>0</v>
      </c>
      <c r="P41" s="146">
        <f>'[8]Project Summary'!$L$7</f>
        <v>0</v>
      </c>
      <c r="Q41" s="142">
        <f>'[8]Project Summary'!$I$8</f>
        <v>0</v>
      </c>
      <c r="R41" s="63">
        <f>'[8]Project Summary'!$J$8</f>
        <v>0</v>
      </c>
      <c r="S41" s="88" t="e">
        <f t="shared" si="5"/>
        <v>#DIV/0!</v>
      </c>
      <c r="T41" s="124">
        <f>'[8]Project Summary'!$L$8</f>
        <v>0</v>
      </c>
      <c r="U41" s="133">
        <f>'[8]Project Summary'!$I$9</f>
        <v>0</v>
      </c>
      <c r="V41" s="63">
        <f>'[8]Project Summary'!$J$9</f>
        <v>0</v>
      </c>
      <c r="W41" s="88" t="e">
        <f t="shared" si="6"/>
        <v>#DIV/0!</v>
      </c>
      <c r="X41" s="146">
        <f>'[8]Project Summary'!$L$9</f>
        <v>0</v>
      </c>
      <c r="Y41" s="142">
        <f>'[8]Project Summary'!$I$10</f>
        <v>0</v>
      </c>
      <c r="Z41" s="63">
        <f>'[8]Project Summary'!$J$10</f>
        <v>0</v>
      </c>
      <c r="AA41" s="88" t="e">
        <f t="shared" si="8"/>
        <v>#DIV/0!</v>
      </c>
      <c r="AB41" s="146">
        <f>'[8]Project Summary'!$L$10</f>
        <v>0</v>
      </c>
      <c r="AC41" s="142">
        <f>'[8]Project Summary'!$I$11</f>
        <v>0</v>
      </c>
      <c r="AD41" s="63">
        <f>'[8]Project Summary'!$J$11</f>
        <v>0</v>
      </c>
      <c r="AE41" s="88" t="e">
        <f t="shared" si="9"/>
        <v>#DIV/0!</v>
      </c>
      <c r="AF41" s="146">
        <f>'[8]Project Summary'!$L$11</f>
        <v>0</v>
      </c>
      <c r="AG41" s="142">
        <f>'[8]Project Summary'!$I$12</f>
        <v>0</v>
      </c>
      <c r="AH41" s="63">
        <f>'[8]Project Summary'!$J$12</f>
        <v>0</v>
      </c>
      <c r="AI41" s="88" t="e">
        <f t="shared" si="7"/>
        <v>#DIV/0!</v>
      </c>
      <c r="AJ41" s="124">
        <f>'[8]Project Summary'!$L$12</f>
        <v>0</v>
      </c>
      <c r="AL41" s="87"/>
      <c r="AN41" s="87"/>
    </row>
    <row r="42" spans="7:40" ht="192.6" customHeight="1" x14ac:dyDescent="0.25">
      <c r="I42" s="150"/>
      <c r="L42" s="137" t="s">
        <v>63</v>
      </c>
      <c r="M42" s="142">
        <f>'[7]Project Summary'!$I$7</f>
        <v>1.8166184000000001</v>
      </c>
      <c r="N42" s="63">
        <f>'[7]Project Summary'!$J$7</f>
        <v>0.47619047619047622</v>
      </c>
      <c r="O42" s="88">
        <f t="shared" si="4"/>
        <v>0.26213016238879677</v>
      </c>
      <c r="P42" s="146">
        <f>'[7]Project Summary'!$L$7</f>
        <v>1.82</v>
      </c>
      <c r="Q42" s="142">
        <f>'[7]Project Summary'!$I$8</f>
        <v>0.19</v>
      </c>
      <c r="R42" s="63">
        <f>'[7]Project Summary'!$J$8</f>
        <v>0.18389952380952382</v>
      </c>
      <c r="S42" s="88">
        <f t="shared" si="5"/>
        <v>0.96789223057644114</v>
      </c>
      <c r="T42" s="124">
        <f>'[7]Project Summary'!$L$8</f>
        <v>0</v>
      </c>
      <c r="U42" s="133">
        <f>'[7]Project Summary'!$I$9</f>
        <v>0</v>
      </c>
      <c r="V42" s="63">
        <f>'[7]Project Summary'!$J$9</f>
        <v>0</v>
      </c>
      <c r="W42" s="88" t="e">
        <f t="shared" si="6"/>
        <v>#DIV/0!</v>
      </c>
      <c r="X42" s="146">
        <f>'[7]Project Summary'!$L$9</f>
        <v>0</v>
      </c>
      <c r="Y42" s="142">
        <f>'[7]Project Summary'!$I$10</f>
        <v>1.1500002</v>
      </c>
      <c r="Z42" s="63">
        <f>'[7]Project Summary'!$J$10</f>
        <v>1.5454290476190475</v>
      </c>
      <c r="AA42" s="88">
        <f t="shared" si="8"/>
        <v>1.3438511120424566</v>
      </c>
      <c r="AB42" s="146">
        <f>'[7]Project Summary'!$L$10</f>
        <v>1.1499999999999999</v>
      </c>
      <c r="AC42" s="142">
        <f>'[7]Project Summary'!$I$11</f>
        <v>1.33</v>
      </c>
      <c r="AD42" s="63">
        <f>'[7]Project Summary'!$J$11</f>
        <v>0</v>
      </c>
      <c r="AE42" s="88">
        <f t="shared" si="9"/>
        <v>0</v>
      </c>
      <c r="AF42" s="146">
        <f>'[7]Project Summary'!$L$11</f>
        <v>1.33</v>
      </c>
      <c r="AG42" s="142">
        <f>'[7]Project Summary'!$I$12</f>
        <v>0</v>
      </c>
      <c r="AH42" s="63">
        <f>'[7]Project Summary'!$J$12</f>
        <v>0</v>
      </c>
      <c r="AI42" s="88" t="e">
        <f t="shared" si="7"/>
        <v>#DIV/0!</v>
      </c>
      <c r="AJ42" s="124">
        <f>'[7]Project Summary'!$L$12</f>
        <v>0</v>
      </c>
      <c r="AL42" s="87"/>
      <c r="AN42" s="87"/>
    </row>
    <row r="43" spans="7:40" ht="38.1" customHeight="1" thickBot="1" x14ac:dyDescent="0.3">
      <c r="I43" s="152"/>
      <c r="L43" s="140" t="s">
        <v>51</v>
      </c>
      <c r="M43" s="143">
        <f>SUM(M36:M42)</f>
        <v>13.627007200000001</v>
      </c>
      <c r="N43" s="125">
        <f>SUM(N36:N42)</f>
        <v>7.0392804246190455</v>
      </c>
      <c r="O43" s="126">
        <f>N43/M43</f>
        <v>0.5165683353142313</v>
      </c>
      <c r="P43" s="147">
        <f>SUM(P36:P42)</f>
        <v>7.2400000000000011</v>
      </c>
      <c r="Q43" s="143">
        <f>SUM(Q36:Q42)</f>
        <v>1.9380641000000001</v>
      </c>
      <c r="R43" s="125">
        <f>SUM(R36:R42)</f>
        <v>0.90137076190476173</v>
      </c>
      <c r="S43" s="126">
        <f>R43/Q43</f>
        <v>0.46508820936560441</v>
      </c>
      <c r="T43" s="127">
        <f>SUM(T36:T42)</f>
        <v>0.2</v>
      </c>
      <c r="U43" s="134">
        <f>SUM(U36:U42)</f>
        <v>0</v>
      </c>
      <c r="V43" s="125">
        <f>SUM(V36:V42)</f>
        <v>0.36691961904761905</v>
      </c>
      <c r="W43" s="126" t="e">
        <f>V43/U43</f>
        <v>#DIV/0!</v>
      </c>
      <c r="X43" s="147">
        <f>SUM(X36:X42)</f>
        <v>0</v>
      </c>
      <c r="Y43" s="143">
        <f>SUM(Y36:Y42)</f>
        <v>5.4110873000000002</v>
      </c>
      <c r="Z43" s="125">
        <f>SUM(Z36:Z42)</f>
        <v>5.5059146142857145</v>
      </c>
      <c r="AA43" s="126">
        <f>Z43/Y43</f>
        <v>1.017524632117045</v>
      </c>
      <c r="AB43" s="147">
        <f>SUM(AB36:AB42)</f>
        <v>5.41</v>
      </c>
      <c r="AC43" s="143">
        <f>SUM(AC36:AC42)</f>
        <v>13.69</v>
      </c>
      <c r="AD43" s="125">
        <f>SUM(AD36:AD42)</f>
        <v>6.7300527095238092</v>
      </c>
      <c r="AE43" s="126">
        <f>AD43/AC43</f>
        <v>0.49160355803680128</v>
      </c>
      <c r="AF43" s="147">
        <f>SUM(AF36:AF42)</f>
        <v>9.3699999999999992</v>
      </c>
      <c r="AG43" s="143">
        <f>SUM(AG36:AG42)</f>
        <v>12.419999999999998</v>
      </c>
      <c r="AH43" s="125">
        <f>SUM(AH36:AH42)</f>
        <v>8.2525539047619052</v>
      </c>
      <c r="AI43" s="126">
        <f>AH43/AG43</f>
        <v>0.66445683613219864</v>
      </c>
      <c r="AJ43" s="127">
        <f>SUM(AJ36:AJ42)</f>
        <v>0.57000000000000006</v>
      </c>
    </row>
    <row r="44" spans="7:40" ht="15.6" x14ac:dyDescent="0.25">
      <c r="L44" s="111"/>
      <c r="M44" s="112"/>
      <c r="N44" s="112"/>
      <c r="O44" s="113"/>
      <c r="P44" s="112"/>
      <c r="Q44" s="112"/>
      <c r="R44" s="112"/>
      <c r="S44" s="113"/>
      <c r="T44" s="112"/>
      <c r="U44" s="112"/>
      <c r="V44" s="112"/>
      <c r="W44" s="113"/>
      <c r="X44" s="112"/>
      <c r="Y44" s="112"/>
      <c r="Z44" s="112"/>
      <c r="AA44" s="113"/>
      <c r="AB44" s="112"/>
      <c r="AC44" s="112"/>
      <c r="AD44" s="112"/>
      <c r="AE44" s="113"/>
      <c r="AF44" s="112"/>
      <c r="AG44" s="112"/>
      <c r="AH44" s="112"/>
      <c r="AI44" s="113"/>
      <c r="AJ44" s="112"/>
    </row>
    <row r="45" spans="7:40" ht="15.6" x14ac:dyDescent="0.25">
      <c r="L45" s="111"/>
      <c r="M45" s="112"/>
      <c r="N45" s="112"/>
      <c r="O45" s="113"/>
      <c r="P45" s="112"/>
      <c r="Q45" s="112">
        <f>M27-Q43</f>
        <v>45.148094499999992</v>
      </c>
      <c r="R45" s="112">
        <f>N27-R43</f>
        <v>27.52780165319048</v>
      </c>
      <c r="S45" s="113"/>
      <c r="T45" s="112"/>
      <c r="U45" s="112"/>
      <c r="V45" s="112"/>
      <c r="W45" s="113"/>
      <c r="X45" s="112"/>
      <c r="Y45" s="112"/>
      <c r="Z45" s="112"/>
      <c r="AA45" s="113"/>
      <c r="AB45" s="112"/>
      <c r="AC45" s="112"/>
      <c r="AD45" s="112"/>
      <c r="AE45" s="113"/>
      <c r="AF45" s="112"/>
      <c r="AG45" s="112"/>
      <c r="AH45" s="112"/>
      <c r="AI45" s="113"/>
      <c r="AJ45" s="112"/>
    </row>
    <row r="46" spans="7:40" ht="15.6" x14ac:dyDescent="0.25">
      <c r="L46" s="111"/>
      <c r="M46" s="112"/>
      <c r="N46" s="112"/>
      <c r="O46" s="113"/>
      <c r="P46" s="112"/>
      <c r="Q46" s="112"/>
      <c r="R46" s="112"/>
      <c r="S46" s="113"/>
      <c r="T46" s="112"/>
      <c r="U46" s="112"/>
      <c r="V46" s="112"/>
      <c r="W46" s="113"/>
      <c r="X46" s="112"/>
      <c r="Y46" s="112"/>
      <c r="Z46" s="112"/>
      <c r="AA46" s="113"/>
      <c r="AB46" s="112"/>
      <c r="AC46" s="112"/>
      <c r="AD46" s="112"/>
      <c r="AE46" s="113"/>
      <c r="AF46" s="112"/>
      <c r="AG46" s="112"/>
      <c r="AH46" s="112"/>
      <c r="AI46" s="113"/>
      <c r="AJ46" s="112"/>
    </row>
    <row r="47" spans="7:40" ht="15.6" x14ac:dyDescent="0.25">
      <c r="L47" s="111"/>
      <c r="M47" s="112"/>
      <c r="N47" s="112"/>
      <c r="O47" s="113"/>
      <c r="P47" s="112"/>
      <c r="Q47" s="112"/>
      <c r="R47" s="112"/>
      <c r="S47" s="113"/>
      <c r="T47" s="112"/>
      <c r="U47" s="112"/>
      <c r="V47" s="112"/>
      <c r="W47" s="113"/>
      <c r="X47" s="112"/>
      <c r="Y47" s="112"/>
      <c r="Z47" s="112"/>
      <c r="AA47" s="113"/>
      <c r="AB47" s="112"/>
      <c r="AC47" s="112"/>
      <c r="AD47" s="112"/>
      <c r="AE47" s="113"/>
      <c r="AF47" s="112"/>
      <c r="AG47" s="112"/>
      <c r="AH47" s="112"/>
      <c r="AI47" s="113"/>
      <c r="AJ47" s="112"/>
    </row>
    <row r="51" spans="12:30" ht="29.1" customHeight="1" x14ac:dyDescent="0.25">
      <c r="R51" s="66"/>
    </row>
    <row r="52" spans="12:30" ht="35.4" thickBot="1" x14ac:dyDescent="0.3">
      <c r="L52" s="231" t="s">
        <v>64</v>
      </c>
      <c r="M52" s="231"/>
      <c r="N52" s="231"/>
      <c r="O52" s="231"/>
      <c r="P52" s="231"/>
      <c r="Q52" s="231"/>
      <c r="V52" s="174" t="s">
        <v>65</v>
      </c>
      <c r="W52" s="164" t="s">
        <v>59</v>
      </c>
      <c r="X52" s="164" t="s">
        <v>60</v>
      </c>
      <c r="Y52" s="164" t="s">
        <v>44</v>
      </c>
      <c r="Z52" s="164" t="s">
        <v>61</v>
      </c>
      <c r="AA52" s="165" t="s">
        <v>47</v>
      </c>
      <c r="AB52" s="164" t="s">
        <v>62</v>
      </c>
      <c r="AC52" s="164" t="s">
        <v>63</v>
      </c>
      <c r="AD52" s="164" t="s">
        <v>29</v>
      </c>
    </row>
    <row r="53" spans="12:30" ht="31.8" thickBot="1" x14ac:dyDescent="0.3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48</v>
      </c>
      <c r="S53" s="30" t="s">
        <v>50</v>
      </c>
      <c r="V53" s="166" t="s">
        <v>41</v>
      </c>
      <c r="W53" s="168">
        <f>'[1]Project Summary'!$L$18</f>
        <v>3.6806382000000002</v>
      </c>
      <c r="X53" s="169">
        <f>'[2]Project Summary'!$L$18</f>
        <v>5.9034896285714309</v>
      </c>
      <c r="Y53" s="169">
        <f>'[3]Project Summary'!$L$18</f>
        <v>0.48546492857142853</v>
      </c>
      <c r="Z53" s="169">
        <f>'[4]Project Summary'!$L$18</f>
        <v>0.24255795714285708</v>
      </c>
      <c r="AA53" s="169">
        <f>'[5]Project Summary'!$L$18</f>
        <v>0.29191159999999999</v>
      </c>
      <c r="AB53" s="169">
        <v>0.23</v>
      </c>
      <c r="AC53" s="169">
        <f>'[7]Project Summary'!$L$18</f>
        <v>1.5309041142857143</v>
      </c>
      <c r="AD53" s="169">
        <f>SUM(W53:AC53)</f>
        <v>12.364966428571432</v>
      </c>
    </row>
    <row r="54" spans="12:30" ht="26.1" customHeight="1" x14ac:dyDescent="0.25">
      <c r="L54" s="20" t="s">
        <v>68</v>
      </c>
      <c r="M54" s="44">
        <f>SUM(N54:R54)</f>
        <v>1.1717344999999999</v>
      </c>
      <c r="N54" s="44">
        <f>'[1]Project Summary'!$I$18</f>
        <v>1.1717344999999999</v>
      </c>
      <c r="O54" s="45"/>
      <c r="P54" s="45"/>
      <c r="Q54" s="45"/>
      <c r="R54" s="45"/>
      <c r="S54" s="45"/>
      <c r="V54" s="166" t="s">
        <v>43</v>
      </c>
      <c r="W54" s="168">
        <f>'[1]Project Summary'!$L$19</f>
        <v>0</v>
      </c>
      <c r="X54" s="169">
        <f>'[2]Project Summary'!$L$19</f>
        <v>3.82143E-2</v>
      </c>
      <c r="Y54" s="169">
        <f>'[3]Project Summary'!$L$19</f>
        <v>9.9999999999999995E-8</v>
      </c>
      <c r="Z54" s="169">
        <f>'[4]Project Summary'!$L$19</f>
        <v>8.8571300000000006E-2</v>
      </c>
      <c r="AA54" s="169">
        <f>'[5]Project Summary'!$L$19</f>
        <v>0.42161400476190475</v>
      </c>
      <c r="AB54" s="169"/>
      <c r="AC54" s="169">
        <f>'[7]Project Summary'!$L$19</f>
        <v>0.41800527619047623</v>
      </c>
      <c r="AD54" s="169">
        <f>SUM(W54:AC54)</f>
        <v>0.96640498095238092</v>
      </c>
    </row>
    <row r="55" spans="12:30" ht="26.1" customHeight="1" x14ac:dyDescent="0.25">
      <c r="L55" s="22" t="s">
        <v>69</v>
      </c>
      <c r="M55" s="44">
        <f t="shared" ref="M55:M59" si="10">SUM(N55:R55)</f>
        <v>2.2479263</v>
      </c>
      <c r="N55" s="44">
        <f>'[1]Project Summary'!$I$19</f>
        <v>2.2479263</v>
      </c>
      <c r="O55" s="45"/>
      <c r="P55" s="45"/>
      <c r="Q55" s="45"/>
      <c r="R55" s="45"/>
      <c r="S55" s="45"/>
      <c r="V55" s="166" t="s">
        <v>70</v>
      </c>
      <c r="W55" s="168">
        <f>'[1]Project Summary'!$L$20</f>
        <v>0</v>
      </c>
      <c r="X55" s="169">
        <f>'[2]Project Summary'!$L$20</f>
        <v>0</v>
      </c>
      <c r="Y55" s="169">
        <f>'[3]Project Summary'!$L$20</f>
        <v>0</v>
      </c>
      <c r="Z55" s="169">
        <f>'[4]Project Summary'!$L$20</f>
        <v>0</v>
      </c>
      <c r="AA55" s="169">
        <f>'[5]Project Summary'!$L$20</f>
        <v>0.12619049047619049</v>
      </c>
      <c r="AB55" s="169"/>
      <c r="AC55" s="169">
        <f>'[7]Project Summary'!$L$20</f>
        <v>0</v>
      </c>
      <c r="AD55" s="169">
        <f>SUM(W55:AC55)</f>
        <v>0.12619049047619049</v>
      </c>
    </row>
    <row r="56" spans="12:30" ht="26.1" customHeight="1" x14ac:dyDescent="0.25">
      <c r="L56" s="22" t="s">
        <v>71</v>
      </c>
      <c r="M56" s="44">
        <f t="shared" si="10"/>
        <v>0.7007274</v>
      </c>
      <c r="N56" s="44">
        <f>'[1]Project Summary'!$I$20</f>
        <v>0.7007274</v>
      </c>
      <c r="O56" s="45"/>
      <c r="P56" s="45"/>
      <c r="Q56" s="45"/>
      <c r="R56" s="45"/>
      <c r="S56" s="45"/>
      <c r="V56" s="166" t="str">
        <f>CONCATENATE("Demand For Registrations 
post 20th of last month")</f>
        <v>Demand For Registrations 
post 20th of last month</v>
      </c>
      <c r="W56" s="168">
        <f>'[1]Project Summary'!$L$2</f>
        <v>0</v>
      </c>
      <c r="X56" s="169">
        <f>'[2]Project Summary'!$L$21</f>
        <v>0</v>
      </c>
      <c r="Y56" s="169">
        <f>'[3]Project Summary'!$L$21</f>
        <v>0.19047624761904763</v>
      </c>
      <c r="Z56" s="169">
        <f>'[4]Project Summary'!$L$21</f>
        <v>0.20846761428571417</v>
      </c>
      <c r="AA56" s="169">
        <f>'[5]Project Summary'!$L$21</f>
        <v>1.7596301190476191</v>
      </c>
      <c r="AB56" s="169"/>
      <c r="AC56" s="169">
        <f>'[7]Project Summary'!$L$21</f>
        <v>1.2585609523809514E-2</v>
      </c>
      <c r="AD56" s="169">
        <f>SUM(W56:AC56)</f>
        <v>2.1711595904761909</v>
      </c>
    </row>
    <row r="57" spans="12:30" ht="26.1" customHeight="1" x14ac:dyDescent="0.25">
      <c r="L57" s="22" t="s">
        <v>72</v>
      </c>
      <c r="M57" s="44">
        <f t="shared" si="10"/>
        <v>1.4966375000000001</v>
      </c>
      <c r="N57" s="44">
        <f>'[1]Project Summary'!$I$21</f>
        <v>1.4966375000000001</v>
      </c>
      <c r="O57" s="45"/>
      <c r="P57" s="45"/>
      <c r="Q57" s="45"/>
      <c r="R57" s="45"/>
      <c r="S57" s="45"/>
      <c r="V57" s="166" t="str">
        <f>CONCATENATE("Expected New Monthly
Registrations")</f>
        <v>Expected New Monthly
Registrations</v>
      </c>
      <c r="W57" s="168">
        <f>'[1]Project Summary'!$L$22</f>
        <v>0</v>
      </c>
      <c r="X57" s="169">
        <f>'[2]Project Summary'!$L$22</f>
        <v>0</v>
      </c>
      <c r="Y57" s="169">
        <f>'[3]Project Summary'!$L$22</f>
        <v>0.93933469047619045</v>
      </c>
      <c r="Z57" s="169">
        <f>'[4]Project Summary'!$L$22</f>
        <v>4.8951823809523808E-2</v>
      </c>
      <c r="AA57" s="169">
        <f>'[5]Project Summary'!$L$22</f>
        <v>2.8160576190476214E-2</v>
      </c>
      <c r="AB57" s="169"/>
      <c r="AC57" s="169">
        <f>'[7]Project Summary'!$L$22</f>
        <v>0</v>
      </c>
      <c r="AD57" s="169">
        <f>SUM(W57:AC57)</f>
        <v>1.0164470904761904</v>
      </c>
    </row>
    <row r="58" spans="12:30" ht="26.1" customHeight="1" x14ac:dyDescent="0.25">
      <c r="L58" s="22" t="s">
        <v>73</v>
      </c>
      <c r="M58" s="44">
        <f>SUM(N58:R58)</f>
        <v>4.8954400000000002E-2</v>
      </c>
      <c r="N58" s="44">
        <f>'[1]Project Summary'!$I$22</f>
        <v>4.8954400000000002E-2</v>
      </c>
      <c r="O58" s="45"/>
      <c r="P58" s="45"/>
      <c r="Q58" s="45"/>
      <c r="R58" s="45"/>
      <c r="S58" s="45"/>
      <c r="V58" s="175" t="s">
        <v>74</v>
      </c>
      <c r="W58" s="167">
        <f t="shared" ref="W58:AD58" si="11">SUM(W53:W57)</f>
        <v>3.6806382000000002</v>
      </c>
      <c r="X58" s="167">
        <f t="shared" si="11"/>
        <v>5.9417039285714308</v>
      </c>
      <c r="Y58" s="167">
        <f t="shared" si="11"/>
        <v>1.6152759666666667</v>
      </c>
      <c r="Z58" s="167">
        <f t="shared" si="11"/>
        <v>0.58854869523809505</v>
      </c>
      <c r="AA58" s="167">
        <f t="shared" si="11"/>
        <v>2.6275067904761906</v>
      </c>
      <c r="AB58" s="167">
        <f t="shared" si="11"/>
        <v>0.23</v>
      </c>
      <c r="AC58" s="167">
        <f t="shared" si="11"/>
        <v>1.961495</v>
      </c>
      <c r="AD58" s="167">
        <f t="shared" si="11"/>
        <v>16.645168580952387</v>
      </c>
    </row>
    <row r="59" spans="12:30" ht="26.1" customHeight="1" thickBot="1" x14ac:dyDescent="0.3">
      <c r="L59" s="23" t="s">
        <v>75</v>
      </c>
      <c r="M59" s="44">
        <f t="shared" si="10"/>
        <v>1.1047847</v>
      </c>
      <c r="N59" s="44">
        <f>'[1]Project Summary'!$I$23</f>
        <v>1.1047847</v>
      </c>
      <c r="O59" s="45"/>
      <c r="P59" s="45"/>
      <c r="Q59" s="45"/>
      <c r="R59" s="45"/>
      <c r="S59" s="45"/>
    </row>
    <row r="60" spans="12:30" ht="16.2" thickBot="1" x14ac:dyDescent="0.3">
      <c r="L60" s="25" t="s">
        <v>76</v>
      </c>
      <c r="M60" s="46">
        <f>SUM(M54:M58)</f>
        <v>5.6659801000000005</v>
      </c>
      <c r="N60" s="46">
        <f>SUM(N54:N58)</f>
        <v>5.6659801000000005</v>
      </c>
      <c r="O60" s="46">
        <f t="shared" ref="O60:S60" si="12">SUM(O54:O58)</f>
        <v>0</v>
      </c>
      <c r="P60" s="46">
        <f t="shared" si="12"/>
        <v>0</v>
      </c>
      <c r="Q60" s="46">
        <f t="shared" si="12"/>
        <v>0</v>
      </c>
      <c r="R60" s="46">
        <f t="shared" si="12"/>
        <v>0</v>
      </c>
      <c r="S60" s="46">
        <f t="shared" si="12"/>
        <v>0</v>
      </c>
    </row>
  </sheetData>
  <sheetProtection formatCells="0"/>
  <mergeCells count="16">
    <mergeCell ref="B1:E1"/>
    <mergeCell ref="L18:O18"/>
    <mergeCell ref="L52:Q52"/>
    <mergeCell ref="B2:E2"/>
    <mergeCell ref="G2:I2"/>
    <mergeCell ref="G3:I3"/>
    <mergeCell ref="G4:I4"/>
    <mergeCell ref="G6:I6"/>
    <mergeCell ref="G7:I7"/>
    <mergeCell ref="S18:V18"/>
    <mergeCell ref="M34:P34"/>
    <mergeCell ref="AG34:AJ34"/>
    <mergeCell ref="AC34:AF34"/>
    <mergeCell ref="Y34:AB34"/>
    <mergeCell ref="U34:X34"/>
    <mergeCell ref="Q34:T34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9A0C-B59D-45A5-A92C-FB9FBEAAEEC4}">
  <sheetPr codeName="Sheet2"/>
  <dimension ref="B1:AJ32"/>
  <sheetViews>
    <sheetView showGridLines="0" zoomScale="54" zoomScaleNormal="69" workbookViewId="0">
      <selection activeCell="F12" sqref="F12"/>
    </sheetView>
  </sheetViews>
  <sheetFormatPr defaultColWidth="8.88671875" defaultRowHeight="13.8" x14ac:dyDescent="0.25"/>
  <cols>
    <col min="1" max="1" width="6.44140625" style="1" customWidth="1"/>
    <col min="2" max="2" width="25.88671875" style="1" customWidth="1"/>
    <col min="3" max="3" width="3.44140625" style="1" customWidth="1"/>
    <col min="4" max="4" width="30.44140625" style="1" customWidth="1"/>
    <col min="5" max="5" width="1.44140625" style="1" customWidth="1"/>
    <col min="6" max="6" width="32.44140625" style="1" customWidth="1"/>
    <col min="7" max="7" width="5" style="1" customWidth="1"/>
    <col min="8" max="8" width="29.44140625" style="1" customWidth="1"/>
    <col min="9" max="9" width="1.44140625" style="1" customWidth="1"/>
    <col min="10" max="10" width="24.5546875" style="1" customWidth="1"/>
    <col min="11" max="11" width="8.88671875" style="1" customWidth="1"/>
    <col min="12" max="12" width="13.44140625" style="1" bestFit="1" customWidth="1"/>
    <col min="13" max="13" width="11.88671875" style="1" hidden="1" customWidth="1"/>
    <col min="14" max="14" width="0" style="1" hidden="1" customWidth="1"/>
    <col min="15" max="16" width="8.88671875" style="1"/>
    <col min="17" max="17" width="28.88671875" style="1" customWidth="1"/>
    <col min="18" max="18" width="17.44140625" style="1" customWidth="1"/>
    <col min="19" max="19" width="22.5546875" style="1" customWidth="1"/>
    <col min="20" max="20" width="24.5546875" style="1" customWidth="1"/>
    <col min="21" max="21" width="17.44140625" style="1" customWidth="1"/>
    <col min="22" max="22" width="23.44140625" style="1" customWidth="1"/>
    <col min="23" max="23" width="15.5546875" style="1" customWidth="1"/>
    <col min="24" max="24" width="16.44140625" style="1" bestFit="1" customWidth="1"/>
    <col min="25" max="25" width="21.5546875" style="1" customWidth="1"/>
    <col min="26" max="26" width="20.5546875" style="1" customWidth="1"/>
    <col min="27" max="27" width="15.5546875" style="1" bestFit="1" customWidth="1"/>
    <col min="28" max="28" width="14.109375" style="1" customWidth="1"/>
    <col min="29" max="29" width="8.88671875" style="1"/>
    <col min="30" max="30" width="40.88671875" style="1" bestFit="1" customWidth="1"/>
    <col min="31" max="31" width="17.5546875" style="1" bestFit="1" customWidth="1"/>
    <col min="32" max="32" width="18.109375" style="1" customWidth="1"/>
    <col min="33" max="33" width="19.5546875" style="1" customWidth="1"/>
    <col min="34" max="34" width="20" style="1" customWidth="1"/>
    <col min="35" max="35" width="23.44140625" style="1" customWidth="1"/>
    <col min="36" max="36" width="17.5546875" style="1" customWidth="1"/>
    <col min="37" max="16384" width="8.88671875" style="1"/>
  </cols>
  <sheetData>
    <row r="1" spans="2:36" ht="57" customHeight="1" x14ac:dyDescent="0.25">
      <c r="B1" s="253" t="s">
        <v>0</v>
      </c>
      <c r="C1" s="253"/>
      <c r="D1" s="253"/>
      <c r="E1" s="253"/>
      <c r="F1" s="253"/>
      <c r="H1" s="37" t="s">
        <v>1</v>
      </c>
      <c r="I1" s="35"/>
      <c r="J1" s="36">
        <f ca="1">TODAY()</f>
        <v>46149</v>
      </c>
      <c r="Q1" s="231" t="s">
        <v>77</v>
      </c>
      <c r="R1" s="231"/>
      <c r="S1" s="231"/>
      <c r="T1" s="231"/>
    </row>
    <row r="2" spans="2:36" ht="48" customHeight="1" thickBot="1" x14ac:dyDescent="0.3">
      <c r="B2" s="254" t="s">
        <v>3</v>
      </c>
      <c r="C2" s="254"/>
      <c r="D2" s="254"/>
      <c r="E2" s="254"/>
      <c r="F2" s="254"/>
      <c r="G2" s="2"/>
      <c r="H2" s="254" t="s">
        <v>4</v>
      </c>
      <c r="I2" s="254"/>
      <c r="J2" s="254"/>
      <c r="K2" s="3"/>
      <c r="L2" s="3"/>
      <c r="M2" s="3"/>
      <c r="N2" s="3"/>
    </row>
    <row r="3" spans="2:36" ht="60.75" customHeight="1" thickBot="1" x14ac:dyDescent="0.3">
      <c r="B3" s="58">
        <f>$R$19</f>
        <v>22.274084900000002</v>
      </c>
      <c r="D3" s="59">
        <f>$T$9</f>
        <v>6.1823201619047614</v>
      </c>
      <c r="E3" s="4"/>
      <c r="F3" s="59">
        <f>$S$9</f>
        <v>0</v>
      </c>
      <c r="H3" s="255" t="str">
        <f>CONCATENATE($Z$9, " / ", $Y$9)</f>
        <v>9 / 17</v>
      </c>
      <c r="I3" s="256"/>
      <c r="J3" s="257"/>
      <c r="L3" s="5">
        <v>8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78</v>
      </c>
    </row>
    <row r="4" spans="2:36" ht="35.4" thickBot="1" x14ac:dyDescent="0.4">
      <c r="B4" s="27" t="s">
        <v>79</v>
      </c>
      <c r="C4" s="28"/>
      <c r="D4" s="27" t="s">
        <v>80</v>
      </c>
      <c r="E4" s="29"/>
      <c r="F4" s="27" t="s">
        <v>81</v>
      </c>
      <c r="G4" s="28"/>
      <c r="H4" s="243" t="s">
        <v>82</v>
      </c>
      <c r="I4" s="244"/>
      <c r="J4" s="245"/>
      <c r="L4" s="7"/>
      <c r="Q4" s="11" t="s">
        <v>83</v>
      </c>
      <c r="R4" s="38">
        <v>171</v>
      </c>
      <c r="S4" s="39">
        <v>0</v>
      </c>
      <c r="T4" s="39">
        <v>1.8087667999999999</v>
      </c>
      <c r="U4" s="38">
        <v>6</v>
      </c>
      <c r="V4" s="39">
        <v>154.9893836</v>
      </c>
      <c r="W4" s="39">
        <v>149.819726</v>
      </c>
      <c r="X4" s="39">
        <v>6.9791362000000001</v>
      </c>
      <c r="Y4" s="40">
        <v>12</v>
      </c>
      <c r="Z4" s="41">
        <v>4</v>
      </c>
      <c r="AA4" s="41">
        <v>7</v>
      </c>
    </row>
    <row r="5" spans="2:36" ht="14.25" customHeight="1" thickBot="1" x14ac:dyDescent="0.3">
      <c r="Q5" s="32" t="s">
        <v>84</v>
      </c>
      <c r="R5" s="42">
        <v>171</v>
      </c>
      <c r="S5" s="39">
        <v>0</v>
      </c>
      <c r="T5" s="43">
        <v>1.8087667999999999</v>
      </c>
      <c r="U5" s="38">
        <v>6</v>
      </c>
      <c r="V5" s="39">
        <v>5.7359942999999998</v>
      </c>
      <c r="W5" s="39">
        <v>5.5863674000000003</v>
      </c>
      <c r="X5" s="39">
        <v>0.8322619</v>
      </c>
      <c r="Y5" s="40">
        <v>0</v>
      </c>
      <c r="Z5" s="41" t="s">
        <v>85</v>
      </c>
      <c r="AA5" s="41">
        <v>7</v>
      </c>
    </row>
    <row r="6" spans="2:36" ht="62.25" customHeight="1" thickBot="1" x14ac:dyDescent="0.3">
      <c r="B6" s="58">
        <f>$X$9</f>
        <v>10.826593257142859</v>
      </c>
      <c r="C6" s="8"/>
      <c r="D6" s="59">
        <f>$W$19</f>
        <v>6.6640613999999996</v>
      </c>
      <c r="E6" s="9"/>
      <c r="F6" s="59">
        <f>$W$19</f>
        <v>6.6640613999999996</v>
      </c>
      <c r="H6" s="250" t="str">
        <f>CONCATENATE($U$9," / ",AA9)</f>
        <v>17 / 20</v>
      </c>
      <c r="I6" s="251"/>
      <c r="J6" s="252"/>
      <c r="L6" s="10"/>
      <c r="Q6" s="11" t="s">
        <v>86</v>
      </c>
      <c r="R6" s="42">
        <v>112</v>
      </c>
      <c r="S6" s="39">
        <v>0</v>
      </c>
      <c r="T6" s="39">
        <v>2.3140931428571427</v>
      </c>
      <c r="U6" s="38">
        <v>3</v>
      </c>
      <c r="V6" s="39">
        <v>48.703444599999997</v>
      </c>
      <c r="W6" s="39">
        <v>54.841061242857137</v>
      </c>
      <c r="X6" s="39">
        <v>2.4941379571428572</v>
      </c>
      <c r="Y6" s="40">
        <v>2</v>
      </c>
      <c r="Z6" s="41">
        <v>2</v>
      </c>
      <c r="AA6" s="41">
        <v>1</v>
      </c>
    </row>
    <row r="7" spans="2:36" ht="59.1" customHeight="1" thickBot="1" x14ac:dyDescent="0.4">
      <c r="B7" s="27" t="s">
        <v>87</v>
      </c>
      <c r="C7" s="29"/>
      <c r="D7" s="27" t="s">
        <v>88</v>
      </c>
      <c r="E7" s="29"/>
      <c r="F7" s="27" t="s">
        <v>89</v>
      </c>
      <c r="G7" s="28"/>
      <c r="H7" s="238" t="s">
        <v>9</v>
      </c>
      <c r="I7" s="239"/>
      <c r="J7" s="249"/>
      <c r="Q7" s="11" t="s">
        <v>90</v>
      </c>
      <c r="R7" s="42">
        <v>89</v>
      </c>
      <c r="S7" s="39">
        <v>0</v>
      </c>
      <c r="T7" s="39">
        <v>0</v>
      </c>
      <c r="U7" s="38">
        <v>0</v>
      </c>
      <c r="V7" s="39">
        <v>81.142002500000004</v>
      </c>
      <c r="W7" s="39">
        <v>81.118153599999999</v>
      </c>
      <c r="X7" s="39">
        <v>2.3848899999999999E-2</v>
      </c>
      <c r="Y7" s="40">
        <v>1</v>
      </c>
      <c r="Z7" s="41">
        <v>1</v>
      </c>
      <c r="AA7" s="41">
        <v>1</v>
      </c>
    </row>
    <row r="8" spans="2:36" ht="21" customHeight="1" x14ac:dyDescent="0.25">
      <c r="Q8" s="32" t="s">
        <v>91</v>
      </c>
      <c r="R8" s="42">
        <v>88</v>
      </c>
      <c r="S8" s="39">
        <v>0</v>
      </c>
      <c r="T8" s="39">
        <v>0.2506934190476191</v>
      </c>
      <c r="U8" s="38">
        <v>2</v>
      </c>
      <c r="V8" s="39">
        <v>58.7696185</v>
      </c>
      <c r="W8" s="39">
        <v>62.063621119047617</v>
      </c>
      <c r="X8" s="39">
        <v>0.49720829999999999</v>
      </c>
      <c r="Y8" s="40">
        <v>2</v>
      </c>
      <c r="Z8" s="41">
        <v>2</v>
      </c>
      <c r="AA8" s="41">
        <v>4</v>
      </c>
    </row>
    <row r="9" spans="2:36" ht="30.75" customHeight="1" x14ac:dyDescent="0.25">
      <c r="Q9" s="11" t="s">
        <v>29</v>
      </c>
      <c r="R9" s="42">
        <f t="shared" ref="R9:AA9" si="0">SUM(R4:R8)</f>
        <v>631</v>
      </c>
      <c r="S9" s="43">
        <f t="shared" si="0"/>
        <v>0</v>
      </c>
      <c r="T9" s="43">
        <f t="shared" si="0"/>
        <v>6.1823201619047614</v>
      </c>
      <c r="U9" s="38">
        <f t="shared" si="0"/>
        <v>17</v>
      </c>
      <c r="V9" s="43">
        <f t="shared" si="0"/>
        <v>349.34044349999994</v>
      </c>
      <c r="W9" s="43">
        <f t="shared" si="0"/>
        <v>353.42892936190481</v>
      </c>
      <c r="X9" s="43">
        <f t="shared" si="0"/>
        <v>10.826593257142859</v>
      </c>
      <c r="Y9" s="40">
        <f t="shared" si="0"/>
        <v>17</v>
      </c>
      <c r="Z9" s="40">
        <f t="shared" si="0"/>
        <v>9</v>
      </c>
      <c r="AA9" s="40">
        <f t="shared" si="0"/>
        <v>20</v>
      </c>
    </row>
    <row r="10" spans="2:36" x14ac:dyDescent="0.25">
      <c r="B10" s="10"/>
      <c r="C10" s="10"/>
      <c r="D10" s="12"/>
      <c r="E10" s="12"/>
      <c r="F10" s="12"/>
      <c r="G10" s="12"/>
    </row>
    <row r="12" spans="2:36" ht="23.4" thickBot="1" x14ac:dyDescent="0.3">
      <c r="Q12" s="231" t="s">
        <v>92</v>
      </c>
      <c r="R12" s="231"/>
      <c r="S12" s="231"/>
      <c r="T12" s="231"/>
      <c r="V12" s="231" t="s">
        <v>64</v>
      </c>
      <c r="W12" s="231"/>
      <c r="X12" s="231"/>
      <c r="Y12" s="231"/>
      <c r="Z12" s="231"/>
      <c r="AA12" s="231"/>
    </row>
    <row r="13" spans="2:36" ht="47.4" thickBot="1" x14ac:dyDescent="0.3">
      <c r="Q13" s="6" t="s">
        <v>32</v>
      </c>
      <c r="R13" s="6" t="s">
        <v>33</v>
      </c>
      <c r="S13" s="6" t="s">
        <v>34</v>
      </c>
      <c r="T13" s="6" t="s">
        <v>35</v>
      </c>
      <c r="U13" s="6" t="s">
        <v>93</v>
      </c>
      <c r="V13" s="13" t="s">
        <v>66</v>
      </c>
      <c r="W13" s="14" t="s">
        <v>67</v>
      </c>
      <c r="X13" s="15" t="s">
        <v>83</v>
      </c>
      <c r="Y13" s="15" t="s">
        <v>84</v>
      </c>
      <c r="Z13" s="15" t="s">
        <v>86</v>
      </c>
      <c r="AA13" s="15" t="s">
        <v>90</v>
      </c>
      <c r="AB13" s="15" t="s">
        <v>91</v>
      </c>
      <c r="AD13" s="13" t="s">
        <v>94</v>
      </c>
      <c r="AE13" s="15" t="s">
        <v>83</v>
      </c>
      <c r="AF13" s="15" t="s">
        <v>84</v>
      </c>
      <c r="AG13" s="15" t="s">
        <v>86</v>
      </c>
      <c r="AH13" s="15" t="s">
        <v>90</v>
      </c>
      <c r="AI13" s="15" t="s">
        <v>91</v>
      </c>
      <c r="AJ13" s="34" t="s">
        <v>29</v>
      </c>
    </row>
    <row r="14" spans="2:36" ht="28.5" customHeight="1" x14ac:dyDescent="0.25">
      <c r="B14" s="16"/>
      <c r="C14" s="16"/>
      <c r="D14" s="17"/>
      <c r="E14" s="17"/>
      <c r="Q14" s="30" t="s">
        <v>59</v>
      </c>
      <c r="R14" s="18">
        <v>9.2006136999999999</v>
      </c>
      <c r="S14" s="18">
        <v>1.4810675</v>
      </c>
      <c r="T14" s="19">
        <f>S14/R14</f>
        <v>0.16097485975310538</v>
      </c>
      <c r="U14" s="62">
        <v>45</v>
      </c>
      <c r="V14" s="20" t="s">
        <v>68</v>
      </c>
      <c r="W14" s="44">
        <f>SUM(X14:AB14)</f>
        <v>0.1019472</v>
      </c>
      <c r="X14" s="44">
        <v>5.0973600000000001E-2</v>
      </c>
      <c r="Y14" s="45">
        <v>5.0973600000000001E-2</v>
      </c>
      <c r="Z14" s="45">
        <v>0</v>
      </c>
      <c r="AA14" s="45">
        <v>0</v>
      </c>
      <c r="AB14" s="45">
        <v>0</v>
      </c>
      <c r="AD14" s="33" t="s">
        <v>95</v>
      </c>
      <c r="AE14" s="48">
        <v>0</v>
      </c>
      <c r="AF14" s="48" t="s">
        <v>96</v>
      </c>
      <c r="AG14" s="48">
        <v>0</v>
      </c>
      <c r="AH14" s="48">
        <v>0</v>
      </c>
      <c r="AI14" s="48">
        <v>0</v>
      </c>
      <c r="AJ14" s="49">
        <f>SUM(AE14:AI14)</f>
        <v>0</v>
      </c>
    </row>
    <row r="15" spans="2:36" ht="28.5" customHeight="1" x14ac:dyDescent="0.25">
      <c r="Q15" s="30" t="s">
        <v>60</v>
      </c>
      <c r="R15" s="18">
        <v>9.2006136999999999</v>
      </c>
      <c r="S15" s="18">
        <v>1.4810675</v>
      </c>
      <c r="T15" s="19">
        <f t="shared" ref="T15:T19" si="1">S15/R15</f>
        <v>0.16097485975310538</v>
      </c>
      <c r="U15" s="62">
        <v>44</v>
      </c>
      <c r="V15" s="22" t="s">
        <v>69</v>
      </c>
      <c r="W15" s="44">
        <f t="shared" ref="W15:W18" si="2">SUM(X15:AB15)</f>
        <v>0.66840440000000001</v>
      </c>
      <c r="X15" s="44">
        <v>0.3342022</v>
      </c>
      <c r="Y15" s="45">
        <v>0.3342022</v>
      </c>
      <c r="Z15" s="45">
        <v>0</v>
      </c>
      <c r="AA15" s="45">
        <v>0</v>
      </c>
      <c r="AB15" s="45">
        <v>0</v>
      </c>
      <c r="AD15" s="21" t="s">
        <v>97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1">
        <f t="shared" ref="AJ15:AJ21" si="3">SUM(AE15:AI15)</f>
        <v>0</v>
      </c>
    </row>
    <row r="16" spans="2:36" ht="27.6" x14ac:dyDescent="0.25">
      <c r="Q16" s="30" t="s">
        <v>98</v>
      </c>
      <c r="R16" s="18">
        <v>3.5328284000000001</v>
      </c>
      <c r="S16" s="18">
        <v>2.3140931428571427</v>
      </c>
      <c r="T16" s="19">
        <f t="shared" si="1"/>
        <v>0.65502562843333767</v>
      </c>
      <c r="U16" s="62">
        <v>46</v>
      </c>
      <c r="V16" s="22" t="s">
        <v>71</v>
      </c>
      <c r="W16" s="44">
        <f t="shared" si="2"/>
        <v>2.8459080999999999</v>
      </c>
      <c r="X16" s="44">
        <v>1.0216391</v>
      </c>
      <c r="Y16" s="45">
        <v>1.0216391</v>
      </c>
      <c r="Z16" s="45">
        <v>0.80262990000000001</v>
      </c>
      <c r="AA16" s="45">
        <v>0</v>
      </c>
      <c r="AB16" s="45">
        <v>0</v>
      </c>
      <c r="AD16" s="21" t="s">
        <v>99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1">
        <f t="shared" si="3"/>
        <v>0</v>
      </c>
    </row>
    <row r="17" spans="13:36" ht="27.6" x14ac:dyDescent="0.25">
      <c r="Q17" s="30" t="s">
        <v>100</v>
      </c>
      <c r="R17" s="18">
        <v>2.3848899999999999E-2</v>
      </c>
      <c r="S17" s="18">
        <v>0</v>
      </c>
      <c r="T17" s="19">
        <f t="shared" si="1"/>
        <v>0</v>
      </c>
      <c r="U17" s="62">
        <v>44</v>
      </c>
      <c r="V17" s="22" t="s">
        <v>72</v>
      </c>
      <c r="W17" s="44">
        <f t="shared" si="2"/>
        <v>3.0478016999999999</v>
      </c>
      <c r="X17" s="44">
        <v>1.4966246000000001</v>
      </c>
      <c r="Y17" s="45">
        <v>1.4966246000000001</v>
      </c>
      <c r="Z17" s="45">
        <v>0</v>
      </c>
      <c r="AA17" s="45">
        <v>0</v>
      </c>
      <c r="AB17" s="45">
        <v>5.4552499999999997E-2</v>
      </c>
      <c r="AD17" s="21" t="s">
        <v>101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1">
        <f t="shared" si="3"/>
        <v>0</v>
      </c>
    </row>
    <row r="18" spans="13:36" ht="28.2" thickBot="1" x14ac:dyDescent="0.3">
      <c r="Q18" s="31" t="s">
        <v>62</v>
      </c>
      <c r="R18" s="18">
        <v>0.31618020000000002</v>
      </c>
      <c r="S18" s="18">
        <v>0.25069341904761905</v>
      </c>
      <c r="T18" s="19">
        <f t="shared" si="1"/>
        <v>0.7928814614185804</v>
      </c>
      <c r="U18" s="62">
        <v>45</v>
      </c>
      <c r="V18" s="23" t="s">
        <v>75</v>
      </c>
      <c r="W18" s="44">
        <f t="shared" si="2"/>
        <v>0</v>
      </c>
      <c r="X18" s="44">
        <v>0</v>
      </c>
      <c r="Y18" s="45">
        <v>0</v>
      </c>
      <c r="Z18" s="45">
        <v>0</v>
      </c>
      <c r="AA18" s="45">
        <v>0</v>
      </c>
      <c r="AB18" s="45">
        <v>0</v>
      </c>
      <c r="AD18" s="21" t="s">
        <v>102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1">
        <f t="shared" si="3"/>
        <v>0</v>
      </c>
    </row>
    <row r="19" spans="13:36" ht="27" thickBot="1" x14ac:dyDescent="0.3">
      <c r="Q19" s="24" t="s">
        <v>51</v>
      </c>
      <c r="R19" s="18">
        <f>SUM(R14:R18)</f>
        <v>22.274084900000002</v>
      </c>
      <c r="S19" s="18">
        <f t="shared" ref="S19" si="4">SUM(S14:S18)</f>
        <v>5.5269215619047616</v>
      </c>
      <c r="T19" s="19">
        <f t="shared" si="1"/>
        <v>0.24813237386487474</v>
      </c>
      <c r="U19" s="61"/>
      <c r="V19" s="25" t="s">
        <v>76</v>
      </c>
      <c r="W19" s="46">
        <f>SUM(W14:W18)</f>
        <v>6.6640613999999996</v>
      </c>
      <c r="X19" s="46">
        <f>SUM(X14:X18)</f>
        <v>2.9034395000000002</v>
      </c>
      <c r="Y19" s="46">
        <f t="shared" ref="Y19:AB19" si="5">SUM(Y14:Y17)</f>
        <v>2.9034395000000002</v>
      </c>
      <c r="Z19" s="46">
        <f t="shared" si="5"/>
        <v>0.80262990000000001</v>
      </c>
      <c r="AA19" s="46">
        <f t="shared" si="5"/>
        <v>0</v>
      </c>
      <c r="AB19" s="47">
        <f t="shared" si="5"/>
        <v>5.4552499999999997E-2</v>
      </c>
      <c r="AD19" s="21" t="s">
        <v>103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1">
        <f t="shared" si="3"/>
        <v>0</v>
      </c>
    </row>
    <row r="20" spans="13:36" ht="26.4" x14ac:dyDescent="0.25">
      <c r="AD20" s="21" t="s">
        <v>104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1">
        <f t="shared" si="3"/>
        <v>0</v>
      </c>
    </row>
    <row r="21" spans="13:36" ht="24.6" customHeight="1" thickBot="1" x14ac:dyDescent="0.3">
      <c r="AD21" s="26" t="s">
        <v>29</v>
      </c>
      <c r="AE21" s="52">
        <f>SUM(AE14:AE20)</f>
        <v>0</v>
      </c>
      <c r="AF21" s="52">
        <f t="shared" ref="AF21:AI21" si="6">SUM(AF14:AF20)</f>
        <v>0</v>
      </c>
      <c r="AG21" s="52">
        <f t="shared" si="6"/>
        <v>0</v>
      </c>
      <c r="AH21" s="52">
        <f t="shared" si="6"/>
        <v>0</v>
      </c>
      <c r="AI21" s="52">
        <f t="shared" si="6"/>
        <v>0</v>
      </c>
      <c r="AJ21" s="53">
        <f t="shared" si="3"/>
        <v>0</v>
      </c>
    </row>
    <row r="23" spans="13:36" ht="30" customHeight="1" x14ac:dyDescent="0.25">
      <c r="M23" s="1" t="s">
        <v>105</v>
      </c>
      <c r="Q23" s="231"/>
      <c r="R23" s="231"/>
      <c r="S23" s="231"/>
      <c r="T23" s="231"/>
    </row>
    <row r="24" spans="13:36" x14ac:dyDescent="0.25">
      <c r="M24" s="60" t="s">
        <v>106</v>
      </c>
      <c r="N24" s="60" t="s">
        <v>107</v>
      </c>
    </row>
    <row r="25" spans="13:36" ht="15.6" x14ac:dyDescent="0.25">
      <c r="Q25" s="54"/>
      <c r="R25" s="54"/>
      <c r="S25" s="54"/>
      <c r="T25" s="54"/>
      <c r="U25" s="54"/>
      <c r="V25" s="54"/>
    </row>
    <row r="26" spans="13:36" ht="15.6" x14ac:dyDescent="0.25">
      <c r="Q26" s="55"/>
      <c r="R26" s="56"/>
      <c r="S26" s="56"/>
      <c r="T26" s="56"/>
      <c r="U26" s="56"/>
      <c r="V26" s="56"/>
    </row>
    <row r="27" spans="13:36" ht="15.6" x14ac:dyDescent="0.25">
      <c r="Q27" s="55"/>
      <c r="R27" s="56"/>
      <c r="S27" s="56"/>
      <c r="T27" s="56"/>
      <c r="U27" s="56"/>
      <c r="V27" s="56"/>
    </row>
    <row r="28" spans="13:36" ht="15.6" x14ac:dyDescent="0.25">
      <c r="Q28" s="55"/>
      <c r="R28" s="56"/>
      <c r="S28" s="56"/>
      <c r="T28" s="56"/>
      <c r="U28" s="56"/>
      <c r="V28" s="56"/>
    </row>
    <row r="29" spans="13:36" ht="15.6" x14ac:dyDescent="0.25">
      <c r="Q29" s="55"/>
      <c r="R29" s="56"/>
      <c r="S29" s="56"/>
      <c r="T29" s="56"/>
      <c r="U29" s="56"/>
      <c r="V29" s="56"/>
    </row>
    <row r="30" spans="13:36" ht="15.6" x14ac:dyDescent="0.25">
      <c r="Q30" s="55"/>
      <c r="R30" s="56"/>
      <c r="S30" s="56"/>
      <c r="T30" s="56"/>
      <c r="U30" s="56"/>
      <c r="V30" s="56"/>
    </row>
    <row r="31" spans="13:36" ht="15.6" x14ac:dyDescent="0.25">
      <c r="Q31" s="55"/>
      <c r="R31" s="56"/>
      <c r="S31" s="56"/>
      <c r="T31" s="56"/>
      <c r="U31" s="56"/>
      <c r="V31" s="56"/>
    </row>
    <row r="32" spans="13:36" ht="15.6" x14ac:dyDescent="0.25">
      <c r="Q32" s="57"/>
      <c r="R32" s="56"/>
      <c r="S32" s="56"/>
      <c r="T32" s="56"/>
      <c r="U32" s="56"/>
      <c r="V32" s="56"/>
    </row>
  </sheetData>
  <sheetProtection formatCells="0"/>
  <mergeCells count="11">
    <mergeCell ref="H4:J4"/>
    <mergeCell ref="B1:F1"/>
    <mergeCell ref="Q1:T1"/>
    <mergeCell ref="B2:F2"/>
    <mergeCell ref="H2:J2"/>
    <mergeCell ref="H3:J3"/>
    <mergeCell ref="H6:J6"/>
    <mergeCell ref="H7:J7"/>
    <mergeCell ref="Q12:T12"/>
    <mergeCell ref="V12:AA12"/>
    <mergeCell ref="Q23:T23"/>
  </mergeCells>
  <pageMargins left="0.7" right="0.7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8CFE-CC1A-45C5-889F-FA6D6C4D712A}">
  <sheetPr codeName="Sheet4"/>
  <dimension ref="B1:AN60"/>
  <sheetViews>
    <sheetView showGridLines="0" tabSelected="1" topLeftCell="L34" zoomScale="49" zoomScaleNormal="49" workbookViewId="0">
      <selection activeCell="AJ39" sqref="AJ39:AJ40"/>
    </sheetView>
  </sheetViews>
  <sheetFormatPr defaultColWidth="8.88671875" defaultRowHeight="13.8" x14ac:dyDescent="0.25"/>
  <cols>
    <col min="1" max="1" width="6.44140625" style="1" customWidth="1"/>
    <col min="2" max="2" width="48.6640625" style="1" customWidth="1"/>
    <col min="3" max="3" width="0.5546875" style="1" customWidth="1"/>
    <col min="4" max="4" width="39" style="1" customWidth="1"/>
    <col min="5" max="5" width="5.5546875" style="1" customWidth="1"/>
    <col min="6" max="6" width="52.33203125" style="1" customWidth="1"/>
    <col min="7" max="7" width="46.5546875" style="1" customWidth="1"/>
    <col min="8" max="8" width="5.88671875" style="1" customWidth="1"/>
    <col min="9" max="9" width="61.33203125" style="1" customWidth="1"/>
    <col min="10" max="10" width="9.109375" style="1" customWidth="1"/>
    <col min="11" max="11" width="9.109375" style="10" bestFit="1" customWidth="1"/>
    <col min="12" max="12" width="33.6640625" style="1" customWidth="1"/>
    <col min="13" max="13" width="19.44140625" style="1" customWidth="1"/>
    <col min="14" max="14" width="24" style="1" customWidth="1"/>
    <col min="15" max="15" width="24.44140625" style="1" customWidth="1"/>
    <col min="16" max="16" width="29.44140625" style="1" customWidth="1"/>
    <col min="17" max="17" width="21" style="1" hidden="1" customWidth="1"/>
    <col min="18" max="18" width="21.6640625" style="1" hidden="1" customWidth="1"/>
    <col min="19" max="19" width="44.44140625" style="1" hidden="1" customWidth="1"/>
    <col min="20" max="20" width="21.5546875" style="1" hidden="1" customWidth="1"/>
    <col min="21" max="21" width="25" style="1" hidden="1" customWidth="1"/>
    <col min="22" max="22" width="25.5546875" style="1" hidden="1" customWidth="1"/>
    <col min="23" max="23" width="23.44140625" style="1" hidden="1" customWidth="1"/>
    <col min="24" max="24" width="17.5546875" style="1" hidden="1" customWidth="1"/>
    <col min="25" max="26" width="19.5546875" style="1" customWidth="1"/>
    <col min="27" max="27" width="30.44140625" style="1" customWidth="1"/>
    <col min="28" max="28" width="25.5546875" style="1" customWidth="1"/>
    <col min="29" max="31" width="17.109375" style="1" customWidth="1"/>
    <col min="32" max="32" width="30.109375" style="91" customWidth="1"/>
    <col min="33" max="35" width="17.109375" style="1" customWidth="1"/>
    <col min="36" max="37" width="21.5546875" style="1" customWidth="1"/>
    <col min="38" max="16384" width="8.88671875" style="1"/>
  </cols>
  <sheetData>
    <row r="1" spans="2:32" s="95" customFormat="1" ht="47.4" customHeight="1" x14ac:dyDescent="0.8">
      <c r="B1" s="226" t="s">
        <v>0</v>
      </c>
      <c r="C1" s="226"/>
      <c r="D1" s="226"/>
      <c r="G1" s="96" t="s">
        <v>1</v>
      </c>
      <c r="I1" s="98">
        <f ca="1">TODAY()</f>
        <v>46149</v>
      </c>
      <c r="K1" s="170"/>
      <c r="L1" s="110"/>
      <c r="M1" s="110"/>
      <c r="N1" s="110"/>
      <c r="O1" s="110"/>
      <c r="AF1" s="99"/>
    </row>
    <row r="2" spans="2:32" s="78" customFormat="1" ht="48.6" customHeight="1" thickBot="1" x14ac:dyDescent="0.6">
      <c r="B2" s="227" t="s">
        <v>108</v>
      </c>
      <c r="C2" s="227"/>
      <c r="D2" s="227"/>
      <c r="E2" s="76"/>
      <c r="F2" s="227" t="s">
        <v>109</v>
      </c>
      <c r="G2" s="227"/>
      <c r="H2" s="77"/>
      <c r="I2" s="163" t="s">
        <v>110</v>
      </c>
      <c r="J2" s="77"/>
      <c r="K2" s="171"/>
      <c r="AF2" s="90"/>
    </row>
    <row r="3" spans="2:32" ht="134.1" customHeight="1" thickBot="1" x14ac:dyDescent="0.3">
      <c r="B3" s="235" t="str">
        <f>CONCATENATE("₹ ",ROUND($N$27,2)," / ",ROUND($M$27,2)," (",ROUND($O$27,3)*100,"%)")</f>
        <v>₹ 27.53 / 44.92 (61.3%)</v>
      </c>
      <c r="C3" s="236"/>
      <c r="D3" s="237"/>
      <c r="F3" s="161" t="str">
        <f>CONCATENATE("₹ ", ROUND($U$21,2), "  /  ", "₹ ", ROUND($T$21,2))</f>
        <v>₹ 1.48  /  ₹ 2.21</v>
      </c>
      <c r="G3" s="160" t="str">
        <f>CONCATENATE("₹ ", ROUND($U$22,2), "  /  ", "₹ ", ROUND($T$22,2))</f>
        <v>₹ 0.6  /  ₹ 0</v>
      </c>
      <c r="I3" s="85" t="str">
        <f ca="1">CONCATENATE("₹ ",ROUND($N$11,2), "  |  ", "₹ ",ROUND($O$11,2))</f>
        <v>₹ 0  |  ₹ 29.7</v>
      </c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66"/>
      <c r="Y3" s="66"/>
      <c r="Z3" s="66"/>
    </row>
    <row r="4" spans="2:32" s="72" customFormat="1" ht="46.5" customHeight="1" thickBot="1" x14ac:dyDescent="0.45">
      <c r="B4" s="238" t="s">
        <v>111</v>
      </c>
      <c r="C4" s="239"/>
      <c r="D4" s="239"/>
      <c r="F4" s="162" t="s">
        <v>112</v>
      </c>
      <c r="G4" s="159" t="s">
        <v>113</v>
      </c>
      <c r="I4" s="27" t="s">
        <v>114</v>
      </c>
      <c r="K4" s="172"/>
      <c r="L4" s="107" t="s">
        <v>19</v>
      </c>
      <c r="M4" s="80">
        <f>'[1]Project Summary'!$B$7</f>
        <v>187</v>
      </c>
      <c r="N4" s="101">
        <f>'[1]Project Summary'!$D$7</f>
        <v>0</v>
      </c>
      <c r="O4" s="101">
        <f>'[1]Project Summary'!$E$7</f>
        <v>4.4807138999999996</v>
      </c>
      <c r="P4" s="104">
        <f>'[1]Project Summary'!$F$7</f>
        <v>1</v>
      </c>
      <c r="Q4" s="79">
        <f>'[1]Project Summary'!$C$14</f>
        <v>206.6961451</v>
      </c>
      <c r="R4" s="79">
        <f>'[1]Project Summary'!$D$14</f>
        <v>205.6492499</v>
      </c>
      <c r="S4" s="79">
        <f>'[1]Project Summary'!$E$14</f>
        <v>3.6806382000000002</v>
      </c>
      <c r="T4" s="69">
        <f>'[1]Project Summary'!$D$21</f>
        <v>1</v>
      </c>
      <c r="U4" s="69">
        <f>'[1]Project Summary'!$F$21</f>
        <v>1</v>
      </c>
      <c r="V4" s="69">
        <f>'[1]Project Summary'!$Q$3</f>
        <v>0</v>
      </c>
      <c r="W4" s="81"/>
      <c r="X4" s="69">
        <f>'[1]Project Summary'!$R$3</f>
        <v>0</v>
      </c>
      <c r="Y4" s="74"/>
      <c r="Z4" s="75"/>
      <c r="AF4" s="92"/>
    </row>
    <row r="5" spans="2:32" ht="46.2" customHeight="1" thickBot="1" x14ac:dyDescent="0.3">
      <c r="F5" s="227" t="s">
        <v>115</v>
      </c>
      <c r="G5" s="227"/>
      <c r="L5" s="109" t="s">
        <v>20</v>
      </c>
      <c r="M5" s="69">
        <f>'[2]Project Summary'!$B$7</f>
        <v>105</v>
      </c>
      <c r="N5" s="102">
        <f ca="1">'[2]Project Summary'!$D$7</f>
        <v>0</v>
      </c>
      <c r="O5" s="102">
        <f>'[2]Project Summary'!$E$7</f>
        <v>8.6502189809523831</v>
      </c>
      <c r="P5" s="105">
        <f>'[2]Project Summary'!$F$7</f>
        <v>0</v>
      </c>
      <c r="Q5" s="82">
        <f>'[2]Project Summary'!$C$13</f>
        <v>101.85285759999999</v>
      </c>
      <c r="R5" s="82">
        <f>'[2]Project Summary'!$D$13</f>
        <v>96.866327980952377</v>
      </c>
      <c r="S5" s="82">
        <f>'[2]Project Summary'!$E$13</f>
        <v>5.9417039285714308</v>
      </c>
      <c r="T5" s="69">
        <f>'[2]Project Summary'!$D$20</f>
        <v>1</v>
      </c>
      <c r="U5" s="69">
        <f ca="1">'[2]Project Summary'!$F$20</f>
        <v>1</v>
      </c>
      <c r="V5" s="69">
        <f>'[2]Project Summary'!$Q$3</f>
        <v>1</v>
      </c>
      <c r="W5" s="83"/>
      <c r="X5" s="69">
        <f>'[2]Project Summary'!$R$3</f>
        <v>0</v>
      </c>
      <c r="Y5" s="68"/>
      <c r="Z5" s="66"/>
    </row>
    <row r="6" spans="2:32" ht="135" customHeight="1" thickBot="1" x14ac:dyDescent="0.3">
      <c r="B6" s="85">
        <f>P27</f>
        <v>22.59</v>
      </c>
      <c r="C6" s="8"/>
      <c r="D6" s="84">
        <f>$S$11-AC54-AC55</f>
        <v>15.322573109523812</v>
      </c>
      <c r="F6" s="154" t="str">
        <f ca="1">CONCATENATE($U$11, "      |    ", $T$11)</f>
        <v>30      |    47</v>
      </c>
      <c r="G6" s="156" t="str">
        <f>CONCATENATE($P$11," / ",V11)</f>
        <v>18 / 25</v>
      </c>
      <c r="I6" s="84">
        <f>$S$11</f>
        <v>16.891745180952384</v>
      </c>
      <c r="L6" s="109" t="s">
        <v>21</v>
      </c>
      <c r="M6" s="69">
        <f>'[3]Project Summary'!$B$7</f>
        <v>74</v>
      </c>
      <c r="N6" s="102">
        <f>'[3]Project Summary'!$D$7</f>
        <v>0</v>
      </c>
      <c r="O6" s="102">
        <f>'[3]Project Summary'!$E$7</f>
        <v>5.3060297722380962</v>
      </c>
      <c r="P6" s="105">
        <f>'[3]Project Summary'!$F$7</f>
        <v>4</v>
      </c>
      <c r="Q6" s="82">
        <f>'[3]Project Summary'!$C$13</f>
        <v>45.568174599999999</v>
      </c>
      <c r="R6" s="82">
        <f>'[3]Project Summary'!$D$13</f>
        <v>46.860068677000001</v>
      </c>
      <c r="S6" s="82">
        <f>'[3]Project Summary'!$E$13</f>
        <v>1.6152759666666665</v>
      </c>
      <c r="T6" s="69">
        <f>'[3]Project Summary'!$D$20</f>
        <v>15</v>
      </c>
      <c r="U6" s="69">
        <f>'[3]Project Summary'!$F$20</f>
        <v>10</v>
      </c>
      <c r="V6" s="69">
        <f>'[3]Project Summary'!$Q$3</f>
        <v>10</v>
      </c>
      <c r="W6" s="83"/>
      <c r="X6" s="69">
        <f>'[3]Project Summary'!$R$3</f>
        <v>8</v>
      </c>
      <c r="Y6" s="68"/>
      <c r="Z6" s="66"/>
    </row>
    <row r="7" spans="2:32" s="28" customFormat="1" ht="40.35" customHeight="1" thickBot="1" x14ac:dyDescent="0.4">
      <c r="B7" s="27" t="s">
        <v>116</v>
      </c>
      <c r="C7" s="29"/>
      <c r="D7" s="27" t="s">
        <v>117</v>
      </c>
      <c r="F7" s="155" t="s">
        <v>18</v>
      </c>
      <c r="G7" s="157" t="s">
        <v>24</v>
      </c>
      <c r="I7" s="27" t="s">
        <v>22</v>
      </c>
      <c r="K7" s="173"/>
      <c r="L7" s="109" t="s">
        <v>25</v>
      </c>
      <c r="M7" s="69">
        <f>'[4]Project Summary'!$B$7</f>
        <v>50</v>
      </c>
      <c r="N7" s="102">
        <f>'[4]Project Summary'!$D$7</f>
        <v>0</v>
      </c>
      <c r="O7" s="102">
        <f>'[4]Project Summary'!$E$7</f>
        <v>3.9736440952380963</v>
      </c>
      <c r="P7" s="105">
        <f>'[4]Project Summary'!$F$7</f>
        <v>4</v>
      </c>
      <c r="Q7" s="82">
        <f>'[4]Project Summary'!$C$13</f>
        <v>33.941633299999999</v>
      </c>
      <c r="R7" s="82">
        <f>'[4]Project Summary'!$D$13</f>
        <v>33.694863347619048</v>
      </c>
      <c r="S7" s="82">
        <f>'[4]Project Summary'!$E$13</f>
        <v>0.58854869523809505</v>
      </c>
      <c r="T7" s="69">
        <f>'[4]Project Summary'!$D$20</f>
        <v>3</v>
      </c>
      <c r="U7" s="69">
        <f>'[4]Project Summary'!$F$20</f>
        <v>1</v>
      </c>
      <c r="V7" s="69">
        <f>'[4]Project Summary'!$Q$3</f>
        <v>7</v>
      </c>
      <c r="W7" s="83"/>
      <c r="X7" s="69">
        <f>'[4]Project Summary'!$R$3</f>
        <v>6</v>
      </c>
      <c r="Y7" s="70"/>
      <c r="Z7" s="71"/>
      <c r="AF7" s="93"/>
    </row>
    <row r="8" spans="2:32" s="28" customFormat="1" ht="28.35" customHeight="1" x14ac:dyDescent="0.35">
      <c r="K8" s="173"/>
      <c r="L8" s="109" t="s">
        <v>26</v>
      </c>
      <c r="M8" s="69">
        <f>'[5]Project Summary'!$B$7</f>
        <v>54</v>
      </c>
      <c r="N8" s="102">
        <f ca="1">'[5]Project Summary'!$D$7</f>
        <v>0</v>
      </c>
      <c r="O8" s="102">
        <f>'[5]Project Summary'!$E$7</f>
        <v>4.2654045571428583</v>
      </c>
      <c r="P8" s="105">
        <f>'[5]Project Summary'!$F$7</f>
        <v>7</v>
      </c>
      <c r="Q8" s="82">
        <f>'[5]Project Summary'!$C$13</f>
        <v>23.9863678</v>
      </c>
      <c r="R8" s="82">
        <f>'[5]Project Summary'!$D$13</f>
        <v>24.688711438095233</v>
      </c>
      <c r="S8" s="82">
        <f>'[5]Project Summary'!$E$13</f>
        <v>2.6275067904761897</v>
      </c>
      <c r="T8" s="69">
        <f>'[5]Project Summary'!$D$20</f>
        <v>11</v>
      </c>
      <c r="U8" s="69">
        <f ca="1">'[5]Project Summary'!$F$20</f>
        <v>8</v>
      </c>
      <c r="V8" s="69">
        <f>'[5]Project Summary'!$Q$3</f>
        <v>6</v>
      </c>
      <c r="W8" s="83"/>
      <c r="X8" s="69">
        <f>'[5]Project Summary'!$R$3</f>
        <v>6</v>
      </c>
      <c r="Y8" s="70"/>
      <c r="Z8" s="71"/>
      <c r="AF8" s="93"/>
    </row>
    <row r="9" spans="2:32" ht="18.600000000000001" customHeight="1" x14ac:dyDescent="0.25">
      <c r="L9" s="109" t="s">
        <v>118</v>
      </c>
      <c r="M9" s="69">
        <f>'[6]Project Summary'!$B$7</f>
        <v>16</v>
      </c>
      <c r="N9" s="102">
        <f>'[6]Project Summary'!$D$7</f>
        <v>0</v>
      </c>
      <c r="O9" s="103">
        <f>'[6]Project Summary'!$E$7</f>
        <v>0.82010580952380951</v>
      </c>
      <c r="P9" s="106">
        <f>'[6]Project Summary'!$F$7</f>
        <v>2</v>
      </c>
      <c r="Q9" s="82">
        <f>'[6]Project Summary'!$C$13</f>
        <v>1.3584535</v>
      </c>
      <c r="R9" s="82">
        <f>'[6]Project Summary'!$D$13</f>
        <v>1.4807047523809522</v>
      </c>
      <c r="S9" s="82">
        <f>'[6]Project Summary'!$E$13</f>
        <v>0.47657660000000002</v>
      </c>
      <c r="T9" s="69">
        <f>'[6]Project Summary'!$D$20</f>
        <v>13</v>
      </c>
      <c r="U9" s="69">
        <f>'[6]Project Summary'!$F$20</f>
        <v>6</v>
      </c>
      <c r="V9" s="69">
        <f>'[6]Project Summary'!$Q$3</f>
        <v>0</v>
      </c>
      <c r="W9" s="83"/>
      <c r="X9" s="69">
        <f>'[6]Project Summary'!$R$3</f>
        <v>0</v>
      </c>
      <c r="Y9" s="68"/>
      <c r="Z9" s="66"/>
    </row>
    <row r="10" spans="2:32" ht="18" x14ac:dyDescent="0.25">
      <c r="L10" s="109" t="s">
        <v>28</v>
      </c>
      <c r="M10" s="69">
        <f>'[7]Project Summary'!$B$7</f>
        <v>24</v>
      </c>
      <c r="N10" s="102">
        <f ca="1">'[7]Project Summary'!$D$7</f>
        <v>0</v>
      </c>
      <c r="O10" s="103">
        <f>'[7]Project Summary'!$E$7</f>
        <v>2.2055190476190476</v>
      </c>
      <c r="P10" s="106">
        <f>'[7]Project Summary'!$F$7</f>
        <v>0</v>
      </c>
      <c r="Q10" s="82">
        <f>'[7]Project Summary'!$C$13</f>
        <v>19.816487599999999</v>
      </c>
      <c r="R10" s="82">
        <f>'[7]Project Summary'!$D$13</f>
        <v>18.298131247619047</v>
      </c>
      <c r="S10" s="82">
        <f>'[7]Project Summary'!$E$13</f>
        <v>1.961495</v>
      </c>
      <c r="T10" s="69">
        <f>'[7]Project Summary'!$D$20</f>
        <v>3</v>
      </c>
      <c r="U10" s="69">
        <f ca="1">'[7]Project Summary'!$F$20</f>
        <v>3</v>
      </c>
      <c r="V10" s="69">
        <f>'[7]Project Summary'!$Q$3</f>
        <v>1</v>
      </c>
      <c r="W10" s="83"/>
      <c r="X10" s="69">
        <f>'[7]Project Summary'!$R$3</f>
        <v>1</v>
      </c>
      <c r="Y10" s="68"/>
      <c r="Z10" s="66"/>
    </row>
    <row r="11" spans="2:32" ht="17.399999999999999" x14ac:dyDescent="0.25">
      <c r="L11" s="116" t="s">
        <v>29</v>
      </c>
      <c r="M11" s="117">
        <f t="shared" ref="M11:W11" si="0">SUM(M4:M10)</f>
        <v>510</v>
      </c>
      <c r="N11" s="118">
        <f t="shared" ca="1" si="0"/>
        <v>0</v>
      </c>
      <c r="O11" s="118">
        <f t="shared" si="0"/>
        <v>29.701636162714291</v>
      </c>
      <c r="P11" s="119">
        <f t="shared" si="0"/>
        <v>18</v>
      </c>
      <c r="Q11" s="120">
        <f t="shared" si="0"/>
        <v>433.22011949999995</v>
      </c>
      <c r="R11" s="120">
        <f t="shared" si="0"/>
        <v>427.53805734366671</v>
      </c>
      <c r="S11" s="120">
        <f t="shared" si="0"/>
        <v>16.891745180952384</v>
      </c>
      <c r="T11" s="121">
        <f t="shared" si="0"/>
        <v>47</v>
      </c>
      <c r="U11" s="121">
        <f t="shared" ca="1" si="0"/>
        <v>30</v>
      </c>
      <c r="V11" s="121">
        <f t="shared" si="0"/>
        <v>25</v>
      </c>
      <c r="W11" s="122">
        <f t="shared" si="0"/>
        <v>0</v>
      </c>
      <c r="X11" s="119">
        <f>SUM(X4:X10)</f>
        <v>21</v>
      </c>
      <c r="Y11" s="66"/>
      <c r="Z11" s="66"/>
    </row>
    <row r="12" spans="2:32" x14ac:dyDescent="0.25">
      <c r="Y12" s="66"/>
      <c r="Z12" s="66"/>
    </row>
    <row r="13" spans="2:32" x14ac:dyDescent="0.25">
      <c r="Y13" s="66"/>
      <c r="Z13" s="66"/>
    </row>
    <row r="14" spans="2:32" x14ac:dyDescent="0.25">
      <c r="Y14" s="66"/>
      <c r="Z14" s="66"/>
    </row>
    <row r="15" spans="2:32" ht="35.1" customHeight="1" x14ac:dyDescent="0.25">
      <c r="Y15" s="66"/>
      <c r="Z15" s="66"/>
    </row>
    <row r="16" spans="2:32" x14ac:dyDescent="0.25">
      <c r="B16" s="10"/>
      <c r="C16" s="10"/>
      <c r="D16" s="12"/>
      <c r="E16" s="12"/>
    </row>
    <row r="18" spans="2:32" ht="45.6" customHeight="1" x14ac:dyDescent="0.25">
      <c r="L18" s="232" t="s">
        <v>30</v>
      </c>
      <c r="M18" s="232"/>
      <c r="N18" s="232"/>
      <c r="O18" s="232"/>
      <c r="S18" s="231" t="s">
        <v>31</v>
      </c>
      <c r="T18" s="231"/>
      <c r="U18" s="231"/>
      <c r="V18" s="231"/>
      <c r="AF18" s="1"/>
    </row>
    <row r="19" spans="2:32" ht="30.75" customHeight="1" x14ac:dyDescent="0.25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6" t="s">
        <v>119</v>
      </c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.2" x14ac:dyDescent="0.25">
      <c r="B20" s="16"/>
      <c r="C20" s="16"/>
      <c r="D20" s="17"/>
      <c r="L20" s="30" t="s">
        <v>40</v>
      </c>
      <c r="M20" s="18">
        <f>'[1]Project Summary'!$I$13-Q36</f>
        <v>6.0278847000000004</v>
      </c>
      <c r="N20" s="18">
        <f>'[1]Project Summary'!$J$13-R36</f>
        <v>4.4100472000000002</v>
      </c>
      <c r="O20" s="19">
        <f t="shared" ref="O20:O25" si="1">N20/M20</f>
        <v>0.73160775620011442</v>
      </c>
      <c r="P20" s="18">
        <f>'[1]Project Summary'!$L$13-T36</f>
        <v>2.04</v>
      </c>
      <c r="Q20" s="18">
        <f t="shared" ref="Q20:Q27" si="2">P20-N20</f>
        <v>-2.3700472000000001</v>
      </c>
      <c r="S20" s="65" t="s">
        <v>41</v>
      </c>
      <c r="T20" s="64">
        <f>M43</f>
        <v>13.397007200000001</v>
      </c>
      <c r="U20" s="64">
        <f>N43</f>
        <v>7.0392804246190455</v>
      </c>
      <c r="V20" s="88">
        <f>O43</f>
        <v>0.52543678745048705</v>
      </c>
      <c r="W20" s="64">
        <f>P43</f>
        <v>7.2400000000000011</v>
      </c>
      <c r="X20" s="63">
        <f t="shared" ref="X20:X25" si="3">T20-W20</f>
        <v>6.1570071999999998</v>
      </c>
      <c r="AF20" s="1"/>
    </row>
    <row r="21" spans="2:32" ht="31.2" x14ac:dyDescent="0.25">
      <c r="L21" s="30" t="s">
        <v>42</v>
      </c>
      <c r="M21" s="18">
        <f>'[2]Project Summary'!$I$13-Q37</f>
        <v>14.267345199999999</v>
      </c>
      <c r="N21" s="18">
        <f>'[2]Project Summary'!$J$13-R37</f>
        <v>8.6502189809523795</v>
      </c>
      <c r="O21" s="19">
        <f t="shared" si="1"/>
        <v>0.60629492450721523</v>
      </c>
      <c r="P21" s="18">
        <f>'[2]Project Summary'!$L$13-T37</f>
        <v>0.68</v>
      </c>
      <c r="Q21" s="18">
        <f t="shared" si="2"/>
        <v>-7.9702189809523798</v>
      </c>
      <c r="S21" s="65" t="s">
        <v>120</v>
      </c>
      <c r="T21" s="64">
        <f>Q43</f>
        <v>2.2067938000000002</v>
      </c>
      <c r="U21" s="64">
        <f>R43</f>
        <v>1.4775612380952379</v>
      </c>
      <c r="V21" s="88">
        <f>S43</f>
        <v>0.66955110989311173</v>
      </c>
      <c r="W21" s="64">
        <f>T43</f>
        <v>0.2</v>
      </c>
      <c r="X21" s="63">
        <f t="shared" si="3"/>
        <v>2.0067938000000001</v>
      </c>
      <c r="AF21" s="1"/>
    </row>
    <row r="22" spans="2:32" ht="46.8" x14ac:dyDescent="0.25">
      <c r="L22" s="30" t="s">
        <v>44</v>
      </c>
      <c r="M22" s="18">
        <f>'[3]Project Summary'!$I$13-Q38</f>
        <v>8.0769663999999999</v>
      </c>
      <c r="N22" s="18">
        <f>'[3]Project Summary'!$J$13-R38</f>
        <v>4.520920343666667</v>
      </c>
      <c r="O22" s="19">
        <f t="shared" si="1"/>
        <v>0.55972999264509349</v>
      </c>
      <c r="P22" s="18">
        <f>'[3]Project Summary'!$L$13-T38</f>
        <v>6.35</v>
      </c>
      <c r="Q22" s="18">
        <f t="shared" si="2"/>
        <v>1.8290796563333327</v>
      </c>
      <c r="S22" s="65" t="s">
        <v>121</v>
      </c>
      <c r="T22" s="64">
        <f>U43</f>
        <v>0</v>
      </c>
      <c r="U22" s="64">
        <f>V43</f>
        <v>0.60369209523809519</v>
      </c>
      <c r="V22" s="88" t="e">
        <f>W43</f>
        <v>#DIV/0!</v>
      </c>
      <c r="W22" s="64">
        <f>X43</f>
        <v>0</v>
      </c>
      <c r="X22" s="63">
        <f t="shared" si="3"/>
        <v>0</v>
      </c>
      <c r="AF22" s="1"/>
    </row>
    <row r="23" spans="2:32" ht="69" customHeight="1" x14ac:dyDescent="0.25">
      <c r="L23" s="30" t="s">
        <v>46</v>
      </c>
      <c r="M23" s="18">
        <f>'[4]Project Summary'!$I$13-Q39</f>
        <v>7.2772421000000005</v>
      </c>
      <c r="N23" s="18">
        <f>'[4]Project Summary'!$J$13-R39</f>
        <v>3.8847441904761904</v>
      </c>
      <c r="O23" s="19">
        <f t="shared" si="1"/>
        <v>0.53382093615879433</v>
      </c>
      <c r="P23" s="18">
        <f>'[4]Project Summary'!$L$13-T39</f>
        <v>5.05</v>
      </c>
      <c r="Q23" s="18">
        <f t="shared" si="2"/>
        <v>1.1652558095238095</v>
      </c>
      <c r="S23" s="65" t="str">
        <f>CONCATENATE("Demand For Registrations 
post 20th of last month")</f>
        <v>Demand For Registrations 
post 20th of last month</v>
      </c>
      <c r="T23" s="64">
        <f>Y43</f>
        <v>5.4110873000000002</v>
      </c>
      <c r="U23" s="64">
        <f>Z43</f>
        <v>5.5059146142857145</v>
      </c>
      <c r="V23" s="88">
        <f>AA43</f>
        <v>1.017524632117045</v>
      </c>
      <c r="W23" s="64">
        <f>AB43</f>
        <v>5.41</v>
      </c>
      <c r="X23" s="63">
        <f t="shared" si="3"/>
        <v>1.0873000000000133E-3</v>
      </c>
      <c r="AF23" s="1"/>
    </row>
    <row r="24" spans="2:32" ht="34.799999999999997" x14ac:dyDescent="0.25">
      <c r="L24" s="123" t="s">
        <v>47</v>
      </c>
      <c r="M24" s="18">
        <f>'[5]Project Summary'!$I$13-Q40</f>
        <v>4.9720374999999999</v>
      </c>
      <c r="N24" s="18">
        <f>'[5]Project Summary'!$J$13-R40</f>
        <v>4.0402514142857155</v>
      </c>
      <c r="O24" s="19">
        <f t="shared" si="1"/>
        <v>0.81259471882215606</v>
      </c>
      <c r="P24" s="18">
        <f>'[5]Project Summary'!$L$13-T40</f>
        <v>4.17</v>
      </c>
      <c r="Q24" s="18">
        <f t="shared" si="2"/>
        <v>0.12974858571428438</v>
      </c>
      <c r="S24" s="65" t="str">
        <f>CONCATENATE("Expected New Monthly
Registrations")</f>
        <v>Expected New Monthly
Registrations</v>
      </c>
      <c r="T24" s="64">
        <f>AC43</f>
        <v>13.69</v>
      </c>
      <c r="U24" s="64">
        <f>AD43</f>
        <v>6.7300527095238092</v>
      </c>
      <c r="V24" s="88">
        <f>AE43</f>
        <v>0.49160355803680128</v>
      </c>
      <c r="W24" s="64">
        <f>AF43</f>
        <v>9.3699999999999992</v>
      </c>
      <c r="X24" s="63">
        <f t="shared" si="3"/>
        <v>4.32</v>
      </c>
      <c r="AF24" s="1"/>
    </row>
    <row r="25" spans="2:32" ht="47.25" customHeight="1" x14ac:dyDescent="0.25">
      <c r="L25" s="30" t="s">
        <v>122</v>
      </c>
      <c r="M25" s="18">
        <f>'[6]Project Summary'!$I$13-Q41</f>
        <v>0</v>
      </c>
      <c r="N25" s="18">
        <f>'[6]Project Summary'!$J$13-R41</f>
        <v>0</v>
      </c>
      <c r="O25" s="19" t="e">
        <f t="shared" si="1"/>
        <v>#DIV/0!</v>
      </c>
      <c r="P25" s="18">
        <f>'[6]Project Summary'!$L$13-T41</f>
        <v>0</v>
      </c>
      <c r="Q25" s="18">
        <f t="shared" si="2"/>
        <v>0</v>
      </c>
      <c r="S25" s="65" t="s">
        <v>49</v>
      </c>
      <c r="T25" s="64">
        <f>AG43</f>
        <v>12.419999999999998</v>
      </c>
      <c r="U25" s="64">
        <f>AH43</f>
        <v>8.2525539047619052</v>
      </c>
      <c r="V25" s="88">
        <f>AI43</f>
        <v>0.66445683613219864</v>
      </c>
      <c r="W25" s="64">
        <f>AJ43</f>
        <v>0.57000000000000006</v>
      </c>
      <c r="X25" s="63">
        <f t="shared" si="3"/>
        <v>11.849999999999998</v>
      </c>
      <c r="AF25" s="1"/>
    </row>
    <row r="26" spans="2:32" ht="27.6" x14ac:dyDescent="0.25">
      <c r="L26" s="30" t="s">
        <v>50</v>
      </c>
      <c r="M26" s="18">
        <f>'[7]Project Summary'!$I$13-Q42</f>
        <v>4.2966185999999995</v>
      </c>
      <c r="N26" s="18">
        <f>'[7]Project Summary'!$J$13-R42</f>
        <v>2.0216195238095236</v>
      </c>
      <c r="O26" s="19">
        <f>'[7]Project Summary'!$K$13</f>
        <v>0.49157711948571864</v>
      </c>
      <c r="P26" s="18">
        <f>'[7]Project Summary'!$L$13-T42</f>
        <v>4.3</v>
      </c>
      <c r="Q26" s="18">
        <f t="shared" si="2"/>
        <v>2.2783804761904762</v>
      </c>
      <c r="AF26" s="1"/>
    </row>
    <row r="27" spans="2:32" ht="26.4" customHeight="1" x14ac:dyDescent="0.25">
      <c r="L27" s="24" t="s">
        <v>51</v>
      </c>
      <c r="M27" s="18">
        <f>SUM(M20:M26)</f>
        <v>44.918094500000002</v>
      </c>
      <c r="N27" s="18">
        <f>SUM(N20:N26)</f>
        <v>27.527801653190476</v>
      </c>
      <c r="O27" s="19">
        <f>N27/M27</f>
        <v>0.61284437729633601</v>
      </c>
      <c r="P27" s="18">
        <f>SUM(P20:P26)</f>
        <v>22.59</v>
      </c>
      <c r="Q27" s="18">
        <f t="shared" si="2"/>
        <v>-4.9378016531904763</v>
      </c>
      <c r="AF27" s="1"/>
    </row>
    <row r="28" spans="2:32" ht="14.4" x14ac:dyDescent="0.3">
      <c r="P28" s="86"/>
      <c r="Q28" s="10"/>
      <c r="AF28" s="1"/>
    </row>
    <row r="29" spans="2:32" ht="14.4" x14ac:dyDescent="0.3">
      <c r="P29" s="86"/>
      <c r="AF29" s="1"/>
    </row>
    <row r="30" spans="2:32" ht="37.35" customHeight="1" x14ac:dyDescent="0.25">
      <c r="L30" s="89"/>
      <c r="M30" s="89"/>
      <c r="N30" s="94"/>
      <c r="O30" s="89"/>
      <c r="AF30" s="1"/>
    </row>
    <row r="31" spans="2:32" x14ac:dyDescent="0.25">
      <c r="AF31" s="1"/>
    </row>
    <row r="32" spans="2:32" ht="15.6" x14ac:dyDescent="0.25">
      <c r="L32" s="54"/>
      <c r="M32" s="54"/>
      <c r="N32" s="54"/>
      <c r="O32" s="54"/>
      <c r="P32" s="54"/>
      <c r="Q32" s="54"/>
    </row>
    <row r="33" spans="6:40" ht="24" customHeight="1" thickBot="1" x14ac:dyDescent="0.3">
      <c r="L33" s="55"/>
      <c r="M33" s="56"/>
      <c r="N33" s="56"/>
      <c r="O33" s="56"/>
      <c r="P33" s="56"/>
      <c r="Q33" s="56"/>
    </row>
    <row r="34" spans="6:40" ht="32.1" customHeight="1" thickBot="1" x14ac:dyDescent="0.3">
      <c r="L34" s="55"/>
      <c r="M34" s="228" t="s">
        <v>52</v>
      </c>
      <c r="N34" s="229"/>
      <c r="O34" s="229"/>
      <c r="P34" s="233"/>
      <c r="Q34" s="228" t="s">
        <v>53</v>
      </c>
      <c r="R34" s="229"/>
      <c r="S34" s="229"/>
      <c r="T34" s="230"/>
      <c r="U34" s="234" t="str">
        <f>CONCATENATE("OCR - Expected New Bookings in"," Sept")</f>
        <v>OCR - Expected New Bookings in Sept</v>
      </c>
      <c r="V34" s="229"/>
      <c r="W34" s="229"/>
      <c r="X34" s="233"/>
      <c r="Y34" s="228" t="str">
        <f>CONCATENATE("Demand Raised for Registrations after ","20th of last month")</f>
        <v>Demand Raised for Registrations after 20th of last month</v>
      </c>
      <c r="Z34" s="229"/>
      <c r="AA34" s="229"/>
      <c r="AB34" s="233"/>
      <c r="AC34" s="228" t="str">
        <f ca="1">CONCATENATE("Expected Registrations in August ",$D$3,"'",$I$3," ")</f>
        <v xml:space="preserve">Expected Registrations in August '₹ 0  |  ₹ 29.7 </v>
      </c>
      <c r="AD34" s="229"/>
      <c r="AE34" s="229"/>
      <c r="AF34" s="233"/>
      <c r="AG34" s="228" t="s">
        <v>54</v>
      </c>
      <c r="AH34" s="229"/>
      <c r="AI34" s="229"/>
      <c r="AJ34" s="230"/>
    </row>
    <row r="35" spans="6:40" ht="31.8" thickBot="1" x14ac:dyDescent="0.3">
      <c r="L35" s="176" t="s">
        <v>55</v>
      </c>
      <c r="M35" s="177" t="s">
        <v>56</v>
      </c>
      <c r="N35" s="178" t="s">
        <v>57</v>
      </c>
      <c r="O35" s="178" t="s">
        <v>35</v>
      </c>
      <c r="P35" s="179" t="s">
        <v>38</v>
      </c>
      <c r="Q35" s="177" t="s">
        <v>56</v>
      </c>
      <c r="R35" s="178" t="s">
        <v>57</v>
      </c>
      <c r="S35" s="178" t="s">
        <v>35</v>
      </c>
      <c r="T35" s="180" t="s">
        <v>38</v>
      </c>
      <c r="U35" s="181" t="s">
        <v>56</v>
      </c>
      <c r="V35" s="178" t="s">
        <v>57</v>
      </c>
      <c r="W35" s="178" t="s">
        <v>35</v>
      </c>
      <c r="X35" s="179" t="s">
        <v>38</v>
      </c>
      <c r="Y35" s="177" t="s">
        <v>56</v>
      </c>
      <c r="Z35" s="178" t="s">
        <v>57</v>
      </c>
      <c r="AA35" s="178" t="s">
        <v>35</v>
      </c>
      <c r="AB35" s="179" t="s">
        <v>38</v>
      </c>
      <c r="AC35" s="177" t="s">
        <v>56</v>
      </c>
      <c r="AD35" s="178" t="s">
        <v>57</v>
      </c>
      <c r="AE35" s="178" t="s">
        <v>35</v>
      </c>
      <c r="AF35" s="179" t="s">
        <v>38</v>
      </c>
      <c r="AG35" s="177" t="s">
        <v>56</v>
      </c>
      <c r="AH35" s="178" t="s">
        <v>57</v>
      </c>
      <c r="AI35" s="178" t="s">
        <v>35</v>
      </c>
      <c r="AJ35" s="182" t="s">
        <v>38</v>
      </c>
    </row>
    <row r="36" spans="6:40" ht="101.4" customHeight="1" x14ac:dyDescent="0.25">
      <c r="F36" s="1" t="s">
        <v>58</v>
      </c>
      <c r="G36" s="150"/>
      <c r="L36" s="184" t="s">
        <v>105</v>
      </c>
      <c r="M36" s="141">
        <f>'[1]Project Summary'!$I$7</f>
        <v>6.0278847000000004</v>
      </c>
      <c r="N36" s="128">
        <f>'[1]Project Summary'!$J$7</f>
        <v>2.5798586000000001</v>
      </c>
      <c r="O36" s="129">
        <f t="shared" ref="O36:O43" si="4">N36/M36</f>
        <v>0.4279873833684974</v>
      </c>
      <c r="P36" s="145">
        <f>'[1]Project Summary'!$L$7</f>
        <v>2.04</v>
      </c>
      <c r="Q36" s="141">
        <f>'[1]Project Summary'!$I$8</f>
        <v>0.2030189</v>
      </c>
      <c r="R36" s="128">
        <f>'[1]Project Summary'!$J$8</f>
        <v>0</v>
      </c>
      <c r="S36" s="129">
        <f t="shared" ref="S36:S43" si="5">R36/Q36</f>
        <v>0</v>
      </c>
      <c r="T36" s="130">
        <f>'[1]Project Summary'!$L$8</f>
        <v>0.2</v>
      </c>
      <c r="U36" s="132">
        <f>'[1]Project Summary'!$I$9</f>
        <v>0</v>
      </c>
      <c r="V36" s="128">
        <f>'[1]Project Summary'!$J$9</f>
        <v>0</v>
      </c>
      <c r="W36" s="129" t="e">
        <f t="shared" ref="W36:W43" si="6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 t="shared" ref="AA36:AA43" si="7">Z36/Y36</f>
        <v>#DIV/0!</v>
      </c>
      <c r="AB36" s="145">
        <f>'[1]Project Summary'!$L$10</f>
        <v>0</v>
      </c>
      <c r="AC36" s="141">
        <f>'[1]Project Summary'!$I$11</f>
        <v>0</v>
      </c>
      <c r="AD36" s="128">
        <f>'[1]Project Summary'!$J$11</f>
        <v>1.8301886000000001</v>
      </c>
      <c r="AE36" s="129" t="e">
        <f t="shared" ref="AE36:AE43" si="8">AD36/AC36</f>
        <v>#DIV/0!</v>
      </c>
      <c r="AF36" s="145">
        <f>'[1]Project Summary'!$L$11</f>
        <v>0</v>
      </c>
      <c r="AG36" s="141">
        <f>'[1]Project Summary'!$I$12</f>
        <v>0</v>
      </c>
      <c r="AH36" s="128">
        <f>'[1]Project Summary'!$J$12</f>
        <v>0</v>
      </c>
      <c r="AI36" s="129" t="e">
        <f t="shared" ref="AI36:AI43" si="9">AH36/AG36</f>
        <v>#DIV/0!</v>
      </c>
      <c r="AJ36" s="183">
        <f>'[1]Project Summary'!$L$12</f>
        <v>0</v>
      </c>
      <c r="AL36" s="87"/>
      <c r="AN36" s="87"/>
    </row>
    <row r="37" spans="6:40" ht="155.4" customHeight="1" x14ac:dyDescent="0.25">
      <c r="G37" s="150"/>
      <c r="L37" s="184" t="s">
        <v>60</v>
      </c>
      <c r="M37" s="142">
        <f>'[2]Project Summary'!$I$7</f>
        <v>2.4173452000000002</v>
      </c>
      <c r="N37" s="63">
        <f>'[2]Project Summary'!$J$7</f>
        <v>1.1720278380952358</v>
      </c>
      <c r="O37" s="88">
        <f t="shared" si="4"/>
        <v>0.48484090650157691</v>
      </c>
      <c r="P37" s="146">
        <f>'[2]Project Summary'!$L$7</f>
        <v>0.68</v>
      </c>
      <c r="Q37" s="142">
        <f>'[2]Project Summary'!$I$8</f>
        <v>0</v>
      </c>
      <c r="R37" s="63">
        <f>'[2]Project Summary'!$J$8</f>
        <v>0</v>
      </c>
      <c r="S37" s="88" t="e">
        <f t="shared" si="5"/>
        <v>#DIV/0!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6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si="7"/>
        <v>#DIV/0!</v>
      </c>
      <c r="AB37" s="146">
        <f>'[2]Project Summary'!$L$10</f>
        <v>0</v>
      </c>
      <c r="AC37" s="142">
        <f>'[2]Project Summary'!$I$11</f>
        <v>0</v>
      </c>
      <c r="AD37" s="63">
        <f>'[2]Project Summary'!$J$11</f>
        <v>0</v>
      </c>
      <c r="AE37" s="88" t="e">
        <f t="shared" si="8"/>
        <v>#DIV/0!</v>
      </c>
      <c r="AF37" s="146">
        <f>'[2]Project Summary'!$L$11</f>
        <v>0</v>
      </c>
      <c r="AG37" s="142">
        <f>'[2]Project Summary'!$I$12</f>
        <v>11.85</v>
      </c>
      <c r="AH37" s="63">
        <f>'[2]Project Summary'!$J$12</f>
        <v>7.4781911428571437</v>
      </c>
      <c r="AI37" s="88">
        <f t="shared" si="9"/>
        <v>0.63107098251959015</v>
      </c>
      <c r="AJ37" s="185">
        <f>'[2]Project Summary'!$L$12</f>
        <v>0</v>
      </c>
      <c r="AK37" s="149">
        <f>AJ37/AG37</f>
        <v>0</v>
      </c>
      <c r="AL37" s="87"/>
      <c r="AN37" s="87"/>
    </row>
    <row r="38" spans="6:40" ht="38.1" customHeight="1" x14ac:dyDescent="0.25">
      <c r="G38" s="148"/>
      <c r="L38" s="186" t="s">
        <v>44</v>
      </c>
      <c r="M38" s="142">
        <f>'[3]Project Summary'!$I$7</f>
        <v>2.2269663999999998</v>
      </c>
      <c r="N38" s="63">
        <f>'[3]Project Summary'!$J$7</f>
        <v>1.6921174722380952</v>
      </c>
      <c r="O38" s="88">
        <f t="shared" si="4"/>
        <v>0.75983071511006872</v>
      </c>
      <c r="P38" s="146">
        <f>'[3]Project Summary'!$L$7</f>
        <v>2.08</v>
      </c>
      <c r="Q38" s="142">
        <f>'[3]Project Summary'!$I$8</f>
        <v>0.48930010000000002</v>
      </c>
      <c r="R38" s="63">
        <f>'[3]Project Summary'!$J$8</f>
        <v>0.51428571428571412</v>
      </c>
      <c r="S38" s="88">
        <f t="shared" si="5"/>
        <v>1.0510639876953103</v>
      </c>
      <c r="T38" s="124">
        <f>'[3]Project Summary'!$L$8</f>
        <v>0</v>
      </c>
      <c r="U38" s="133">
        <f>'[3]Project Summary'!$I$9</f>
        <v>0</v>
      </c>
      <c r="V38" s="63">
        <f>'[3]Project Summary'!$J$9</f>
        <v>0.3184427619047619</v>
      </c>
      <c r="W38" s="88" t="e">
        <f t="shared" si="6"/>
        <v>#DIV/0!</v>
      </c>
      <c r="X38" s="146">
        <f>'[3]Project Summary'!$L$9</f>
        <v>0</v>
      </c>
      <c r="Y38" s="142">
        <f>'[3]Project Summary'!$I$10</f>
        <v>0.39</v>
      </c>
      <c r="Z38" s="63">
        <f>'[3]Project Summary'!$J$10</f>
        <v>0.3055852476190476</v>
      </c>
      <c r="AA38" s="88">
        <f t="shared" si="7"/>
        <v>0.78355191697191684</v>
      </c>
      <c r="AB38" s="146">
        <f>'[3]Project Summary'!$L$10</f>
        <v>0.39</v>
      </c>
      <c r="AC38" s="142">
        <f>'[3]Project Summary'!$I$11</f>
        <v>5.46</v>
      </c>
      <c r="AD38" s="63">
        <f>'[3]Project Summary'!$J$11</f>
        <v>1.9107596238095239</v>
      </c>
      <c r="AE38" s="88">
        <f t="shared" si="8"/>
        <v>0.34995597505668935</v>
      </c>
      <c r="AF38" s="146">
        <f>'[3]Project Summary'!$L$11</f>
        <v>3.88</v>
      </c>
      <c r="AG38" s="142">
        <f>'[3]Project Summary'!$I$12</f>
        <v>0</v>
      </c>
      <c r="AH38" s="63">
        <f>'[3]Project Summary'!$J$12</f>
        <v>0.61245799999999995</v>
      </c>
      <c r="AI38" s="88" t="e">
        <f t="shared" si="9"/>
        <v>#DIV/0!</v>
      </c>
      <c r="AJ38" s="185">
        <f>'[3]Project Summary'!$L$12</f>
        <v>0</v>
      </c>
      <c r="AL38" s="87"/>
      <c r="AN38" s="87"/>
    </row>
    <row r="39" spans="6:40" ht="91.35" customHeight="1" x14ac:dyDescent="0.25">
      <c r="G39" s="150"/>
      <c r="L39" s="184" t="s">
        <v>61</v>
      </c>
      <c r="M39" s="142">
        <f>'[4]Project Summary'!$I$7</f>
        <v>0.45724209999999998</v>
      </c>
      <c r="N39" s="63">
        <f>'[4]Project Summary'!$J$7</f>
        <v>0.33286333333333334</v>
      </c>
      <c r="O39" s="88">
        <f t="shared" si="4"/>
        <v>0.72798050164963668</v>
      </c>
      <c r="P39" s="146">
        <f>'[4]Project Summary'!$L$7</f>
        <v>0.46</v>
      </c>
      <c r="Q39" s="142">
        <f>'[4]Project Summary'!$I$8</f>
        <v>0.49365490000000001</v>
      </c>
      <c r="R39" s="63">
        <f>'[4]Project Summary'!$J$8</f>
        <v>3.5090285714285713E-2</v>
      </c>
      <c r="S39" s="88">
        <f t="shared" si="5"/>
        <v>7.1082624145502676E-2</v>
      </c>
      <c r="T39" s="124">
        <f>'[4]Project Summary'!$L$8</f>
        <v>0</v>
      </c>
      <c r="U39" s="133">
        <f>'[4]Project Summary'!$I$9</f>
        <v>0</v>
      </c>
      <c r="V39" s="63">
        <f>'[4]Project Summary'!$J$9</f>
        <v>9.4285714285714285E-3</v>
      </c>
      <c r="W39" s="88" t="e">
        <f t="shared" si="6"/>
        <v>#DIV/0!</v>
      </c>
      <c r="X39" s="146">
        <f>'[4]Project Summary'!$L$9</f>
        <v>0</v>
      </c>
      <c r="Y39" s="142">
        <f>'[4]Project Summary'!$I$10</f>
        <v>2.4300000000000002</v>
      </c>
      <c r="Z39" s="63">
        <f>'[4]Project Summary'!$J$10</f>
        <v>2.8829240952380957</v>
      </c>
      <c r="AA39" s="88">
        <f t="shared" si="7"/>
        <v>1.186388516558887</v>
      </c>
      <c r="AB39" s="146">
        <f>'[4]Project Summary'!$L$10</f>
        <v>2.4300000000000002</v>
      </c>
      <c r="AC39" s="142">
        <f>'[4]Project Summary'!$I$11</f>
        <v>4.1100000000000003</v>
      </c>
      <c r="AD39" s="63">
        <f>'[4]Project Summary'!$J$11</f>
        <v>0.50705199999999995</v>
      </c>
      <c r="AE39" s="88">
        <f t="shared" si="8"/>
        <v>0.12337031630170314</v>
      </c>
      <c r="AF39" s="146">
        <f>'[4]Project Summary'!$L$11</f>
        <v>1.88</v>
      </c>
      <c r="AG39" s="142">
        <f>'[4]Project Summary'!$I$12</f>
        <v>0.28000000000000003</v>
      </c>
      <c r="AH39" s="63">
        <f>'[4]Project Summary'!$J$12</f>
        <v>0.16190476190476188</v>
      </c>
      <c r="AI39" s="88">
        <f t="shared" si="9"/>
        <v>0.57823129251700667</v>
      </c>
      <c r="AJ39" s="185">
        <f>'[4]Project Summary'!$L$12</f>
        <v>0.28000000000000003</v>
      </c>
      <c r="AL39" s="87"/>
      <c r="AN39" s="87"/>
    </row>
    <row r="40" spans="6:40" ht="65.400000000000006" customHeight="1" x14ac:dyDescent="0.25">
      <c r="G40" s="150"/>
      <c r="L40" s="187" t="s">
        <v>47</v>
      </c>
      <c r="M40" s="142">
        <f>'[5]Project Summary'!$I$7</f>
        <v>0.45095040000000003</v>
      </c>
      <c r="N40" s="63">
        <f>'[5]Project Summary'!$J$7</f>
        <v>0.78622270476190481</v>
      </c>
      <c r="O40" s="88">
        <f t="shared" si="4"/>
        <v>1.7434793377761828</v>
      </c>
      <c r="P40" s="146">
        <f>'[5]Project Summary'!$L$7</f>
        <v>0.16</v>
      </c>
      <c r="Q40" s="142">
        <f>'[5]Project Summary'!$I$8</f>
        <v>0.56209019999999998</v>
      </c>
      <c r="R40" s="63">
        <f>'[5]Project Summary'!$J$8</f>
        <v>0.1680952380952381</v>
      </c>
      <c r="S40" s="88">
        <f t="shared" si="5"/>
        <v>0.29905384953382591</v>
      </c>
      <c r="T40" s="124">
        <f>'[5]Project Summary'!$L$8</f>
        <v>0</v>
      </c>
      <c r="U40" s="133">
        <f>'[5]Project Summary'!$I$9</f>
        <v>0</v>
      </c>
      <c r="V40" s="63">
        <f>'[5]Project Summary'!$J$9</f>
        <v>3.9048285714285716E-2</v>
      </c>
      <c r="W40" s="88" t="e">
        <f t="shared" si="6"/>
        <v>#DIV/0!</v>
      </c>
      <c r="X40" s="146">
        <f>'[5]Project Summary'!$L$9</f>
        <v>0</v>
      </c>
      <c r="Y40" s="142">
        <f>'[5]Project Summary'!$I$10</f>
        <v>1.4410871000000001</v>
      </c>
      <c r="Z40" s="63">
        <f>'[5]Project Summary'!$J$10</f>
        <v>0.77197622380952391</v>
      </c>
      <c r="AA40" s="88">
        <f t="shared" si="7"/>
        <v>0.53569019097424708</v>
      </c>
      <c r="AB40" s="146">
        <f>'[5]Project Summary'!$L$10</f>
        <v>1.44</v>
      </c>
      <c r="AC40" s="142">
        <f>'[5]Project Summary'!$I$11</f>
        <v>2.79</v>
      </c>
      <c r="AD40" s="63">
        <f>'[5]Project Summary'!$J$11</f>
        <v>2.4820524857142856</v>
      </c>
      <c r="AE40" s="88">
        <f t="shared" si="8"/>
        <v>0.88962454685099845</v>
      </c>
      <c r="AF40" s="146">
        <f>'[5]Project Summary'!$L$11</f>
        <v>2.2799999999999998</v>
      </c>
      <c r="AG40" s="142">
        <f>'[5]Project Summary'!$I$12</f>
        <v>0.28999999999999998</v>
      </c>
      <c r="AH40" s="63">
        <f>'[5]Project Summary'!$J$12</f>
        <v>0</v>
      </c>
      <c r="AI40" s="88">
        <f t="shared" si="9"/>
        <v>0</v>
      </c>
      <c r="AJ40" s="185">
        <f>'[5]Project Summary'!$L$12</f>
        <v>0.28999999999999998</v>
      </c>
      <c r="AL40" s="87"/>
      <c r="AN40" s="87"/>
    </row>
    <row r="41" spans="6:40" ht="38.1" customHeight="1" x14ac:dyDescent="0.25">
      <c r="G41" s="151"/>
      <c r="L41" s="188" t="s">
        <v>123</v>
      </c>
      <c r="M41" s="142">
        <f>'[6]Project Summary'!$I$7</f>
        <v>0</v>
      </c>
      <c r="N41" s="63">
        <f>'[6]Project Summary'!$J$7</f>
        <v>0</v>
      </c>
      <c r="O41" s="88" t="e">
        <f t="shared" si="4"/>
        <v>#DIV/0!</v>
      </c>
      <c r="P41" s="146">
        <f>'[6]Project Summary'!$L$7</f>
        <v>0</v>
      </c>
      <c r="Q41" s="142">
        <f>'[6]Project Summary'!$I$8</f>
        <v>0.26872970000000002</v>
      </c>
      <c r="R41" s="63">
        <f>'[6]Project Summary'!$J$8</f>
        <v>0.57619047619047614</v>
      </c>
      <c r="S41" s="88">
        <f t="shared" si="5"/>
        <v>2.1441265189165026</v>
      </c>
      <c r="T41" s="124">
        <f>'[6]Project Summary'!$L$8</f>
        <v>0</v>
      </c>
      <c r="U41" s="133">
        <f>'[6]Project Summary'!$I$9</f>
        <v>0</v>
      </c>
      <c r="V41" s="63">
        <f>'[6]Project Summary'!$J$9</f>
        <v>0.23677247619047617</v>
      </c>
      <c r="W41" s="88" t="e">
        <f t="shared" si="6"/>
        <v>#DIV/0!</v>
      </c>
      <c r="X41" s="146">
        <f>'[6]Project Summary'!$L$9</f>
        <v>0</v>
      </c>
      <c r="Y41" s="142">
        <f>'[6]Project Summary'!$I$10</f>
        <v>0</v>
      </c>
      <c r="Z41" s="63">
        <f>'[6]Project Summary'!$J$10</f>
        <v>0</v>
      </c>
      <c r="AA41" s="88" t="e">
        <f t="shared" si="7"/>
        <v>#DIV/0!</v>
      </c>
      <c r="AB41" s="146">
        <f>'[6]Project Summary'!$L$10</f>
        <v>0</v>
      </c>
      <c r="AC41" s="142">
        <f>'[6]Project Summary'!$I$11</f>
        <v>0</v>
      </c>
      <c r="AD41" s="63">
        <f>'[6]Project Summary'!$J$11</f>
        <v>0</v>
      </c>
      <c r="AE41" s="88" t="e">
        <f t="shared" si="8"/>
        <v>#DIV/0!</v>
      </c>
      <c r="AF41" s="146">
        <f>'[6]Project Summary'!$L$11</f>
        <v>0</v>
      </c>
      <c r="AG41" s="142">
        <f>'[6]Project Summary'!$I$12</f>
        <v>0</v>
      </c>
      <c r="AH41" s="63">
        <f>'[6]Project Summary'!$J$12</f>
        <v>0</v>
      </c>
      <c r="AI41" s="88" t="e">
        <f t="shared" si="9"/>
        <v>#DIV/0!</v>
      </c>
      <c r="AJ41" s="185">
        <f>'[6]Project Summary'!$L$12</f>
        <v>0</v>
      </c>
      <c r="AL41" s="87"/>
      <c r="AN41" s="87"/>
    </row>
    <row r="42" spans="6:40" ht="192.6" customHeight="1" x14ac:dyDescent="0.25">
      <c r="G42" s="150"/>
      <c r="L42" s="184" t="s">
        <v>63</v>
      </c>
      <c r="M42" s="142">
        <f>'[7]Project Summary'!$I$7</f>
        <v>1.8166184000000001</v>
      </c>
      <c r="N42" s="63">
        <f>'[7]Project Summary'!$J$7</f>
        <v>0.47619047619047622</v>
      </c>
      <c r="O42" s="88">
        <f t="shared" si="4"/>
        <v>0.26213016238879677</v>
      </c>
      <c r="P42" s="146">
        <f>'[7]Project Summary'!$L$7</f>
        <v>1.82</v>
      </c>
      <c r="Q42" s="142">
        <f>'[7]Project Summary'!$I$8</f>
        <v>0.19</v>
      </c>
      <c r="R42" s="63">
        <f>'[7]Project Summary'!$J$8</f>
        <v>0.18389952380952382</v>
      </c>
      <c r="S42" s="88">
        <f t="shared" si="5"/>
        <v>0.96789223057644114</v>
      </c>
      <c r="T42" s="124">
        <f>'[7]Project Summary'!$L$8</f>
        <v>0</v>
      </c>
      <c r="U42" s="133">
        <f>'[7]Project Summary'!$I$9</f>
        <v>0</v>
      </c>
      <c r="V42" s="63">
        <f>'[7]Project Summary'!$J$9</f>
        <v>0</v>
      </c>
      <c r="W42" s="88" t="e">
        <f t="shared" si="6"/>
        <v>#DIV/0!</v>
      </c>
      <c r="X42" s="146">
        <f>'[7]Project Summary'!$L$9</f>
        <v>0</v>
      </c>
      <c r="Y42" s="142">
        <f>'[7]Project Summary'!$I$10</f>
        <v>1.1500002</v>
      </c>
      <c r="Z42" s="63">
        <f>'[7]Project Summary'!$J$10</f>
        <v>1.5454290476190475</v>
      </c>
      <c r="AA42" s="88">
        <f t="shared" si="7"/>
        <v>1.3438511120424566</v>
      </c>
      <c r="AB42" s="146">
        <f>'[7]Project Summary'!$L$10</f>
        <v>1.1499999999999999</v>
      </c>
      <c r="AC42" s="142">
        <f>'[7]Project Summary'!$I$11</f>
        <v>1.33</v>
      </c>
      <c r="AD42" s="63">
        <f>'[7]Project Summary'!$J$11</f>
        <v>0</v>
      </c>
      <c r="AE42" s="88">
        <f t="shared" si="8"/>
        <v>0</v>
      </c>
      <c r="AF42" s="146">
        <f>'[7]Project Summary'!$L$11</f>
        <v>1.33</v>
      </c>
      <c r="AG42" s="142">
        <f>'[7]Project Summary'!$I$12</f>
        <v>0</v>
      </c>
      <c r="AH42" s="63">
        <f>'[7]Project Summary'!$J$12</f>
        <v>0</v>
      </c>
      <c r="AI42" s="88" t="e">
        <f t="shared" si="9"/>
        <v>#DIV/0!</v>
      </c>
      <c r="AJ42" s="185">
        <f>'[7]Project Summary'!$L$12</f>
        <v>0</v>
      </c>
      <c r="AL42" s="87"/>
      <c r="AN42" s="87"/>
    </row>
    <row r="43" spans="6:40" ht="38.1" customHeight="1" thickBot="1" x14ac:dyDescent="0.3">
      <c r="G43" s="152"/>
      <c r="L43" s="189" t="s">
        <v>51</v>
      </c>
      <c r="M43" s="190">
        <f>SUM(M36:M42)</f>
        <v>13.397007200000001</v>
      </c>
      <c r="N43" s="191">
        <f>SUM(N36:N42)</f>
        <v>7.0392804246190455</v>
      </c>
      <c r="O43" s="192">
        <f t="shared" si="4"/>
        <v>0.52543678745048705</v>
      </c>
      <c r="P43" s="193">
        <f>SUM(P36:P42)</f>
        <v>7.2400000000000011</v>
      </c>
      <c r="Q43" s="190">
        <f>SUM(Q36:Q42)</f>
        <v>2.2067938000000002</v>
      </c>
      <c r="R43" s="191">
        <f>SUM(R36:R42)</f>
        <v>1.4775612380952379</v>
      </c>
      <c r="S43" s="192">
        <f t="shared" si="5"/>
        <v>0.66955110989311173</v>
      </c>
      <c r="T43" s="194">
        <f>SUM(T36:T42)</f>
        <v>0.2</v>
      </c>
      <c r="U43" s="195">
        <f>SUM(U36:U42)</f>
        <v>0</v>
      </c>
      <c r="V43" s="191">
        <f>SUM(V36:V42)</f>
        <v>0.60369209523809519</v>
      </c>
      <c r="W43" s="192" t="e">
        <f t="shared" si="6"/>
        <v>#DIV/0!</v>
      </c>
      <c r="X43" s="193">
        <f>SUM(X36:X42)</f>
        <v>0</v>
      </c>
      <c r="Y43" s="190">
        <f>SUM(Y36:Y42)</f>
        <v>5.4110873000000002</v>
      </c>
      <c r="Z43" s="191">
        <f>SUM(Z36:Z42)</f>
        <v>5.5059146142857145</v>
      </c>
      <c r="AA43" s="192">
        <f t="shared" si="7"/>
        <v>1.017524632117045</v>
      </c>
      <c r="AB43" s="193">
        <f>SUM(AB36:AB42)</f>
        <v>5.41</v>
      </c>
      <c r="AC43" s="190">
        <f>SUM(AC36:AC42)</f>
        <v>13.69</v>
      </c>
      <c r="AD43" s="191">
        <f>SUM(AD36:AD42)</f>
        <v>6.7300527095238092</v>
      </c>
      <c r="AE43" s="192">
        <f t="shared" si="8"/>
        <v>0.49160355803680128</v>
      </c>
      <c r="AF43" s="193">
        <f>SUM(AF36:AF42)</f>
        <v>9.3699999999999992</v>
      </c>
      <c r="AG43" s="190">
        <f>SUM(AG36:AG42)</f>
        <v>12.419999999999998</v>
      </c>
      <c r="AH43" s="191">
        <f>SUM(AH36:AH42)</f>
        <v>8.2525539047619052</v>
      </c>
      <c r="AI43" s="192">
        <f t="shared" si="9"/>
        <v>0.66445683613219864</v>
      </c>
      <c r="AJ43" s="196">
        <f>SUM(AJ36:AJ42)</f>
        <v>0.57000000000000006</v>
      </c>
    </row>
    <row r="44" spans="6:40" ht="15.6" x14ac:dyDescent="0.25">
      <c r="L44" s="111"/>
      <c r="M44" s="112"/>
      <c r="N44" s="112"/>
      <c r="O44" s="158"/>
      <c r="P44" s="112"/>
      <c r="Q44" s="112"/>
      <c r="R44" s="112"/>
      <c r="S44" s="158"/>
      <c r="T44" s="112"/>
      <c r="U44" s="112"/>
      <c r="V44" s="112"/>
      <c r="W44" s="158"/>
      <c r="X44" s="112"/>
      <c r="Y44" s="112"/>
      <c r="Z44" s="112"/>
      <c r="AA44" s="158"/>
      <c r="AB44" s="112"/>
      <c r="AC44" s="112"/>
      <c r="AD44" s="112"/>
      <c r="AE44" s="158"/>
      <c r="AF44" s="112"/>
      <c r="AG44" s="112"/>
      <c r="AH44" s="112"/>
      <c r="AI44" s="158"/>
      <c r="AJ44" s="112"/>
    </row>
    <row r="45" spans="6:40" ht="27" customHeight="1" x14ac:dyDescent="0.25">
      <c r="L45" s="111"/>
      <c r="M45" s="112"/>
      <c r="N45" s="112"/>
      <c r="O45" s="158"/>
      <c r="P45" s="112"/>
      <c r="Q45" s="112">
        <f>M27-Q43</f>
        <v>42.711300700000002</v>
      </c>
      <c r="R45" s="112">
        <f>N27-R43</f>
        <v>26.050240415095239</v>
      </c>
      <c r="S45" s="158"/>
      <c r="T45" s="112"/>
      <c r="U45" s="112"/>
      <c r="V45" s="112"/>
      <c r="W45" s="158"/>
      <c r="X45" s="112"/>
      <c r="Y45" s="112"/>
      <c r="Z45" s="112"/>
      <c r="AA45" s="158"/>
      <c r="AB45" s="112"/>
      <c r="AC45" s="112"/>
      <c r="AD45" s="112"/>
      <c r="AE45" s="158"/>
      <c r="AF45" s="112"/>
      <c r="AG45" s="112"/>
      <c r="AH45" s="112"/>
      <c r="AI45" s="158"/>
      <c r="AJ45" s="112"/>
    </row>
    <row r="46" spans="6:40" ht="15.6" x14ac:dyDescent="0.25">
      <c r="L46" s="111"/>
      <c r="M46" s="112"/>
      <c r="N46" s="112"/>
      <c r="O46" s="158"/>
      <c r="P46" s="112"/>
      <c r="Q46" s="112"/>
      <c r="R46" s="112"/>
      <c r="S46" s="158"/>
      <c r="T46" s="112"/>
      <c r="U46" s="112"/>
      <c r="V46" s="112"/>
      <c r="W46" s="158"/>
      <c r="X46" s="112"/>
      <c r="Y46" s="112"/>
      <c r="Z46" s="112"/>
      <c r="AA46" s="158"/>
      <c r="AB46" s="112"/>
      <c r="AC46" s="112"/>
      <c r="AD46" s="112"/>
      <c r="AE46" s="158"/>
      <c r="AF46" s="112"/>
      <c r="AG46" s="112"/>
      <c r="AH46" s="112"/>
      <c r="AI46" s="158"/>
      <c r="AJ46" s="112"/>
    </row>
    <row r="47" spans="6:40" ht="15.6" x14ac:dyDescent="0.25">
      <c r="L47" s="111"/>
      <c r="M47" s="112"/>
      <c r="N47" s="112"/>
      <c r="O47" s="158"/>
      <c r="P47" s="112"/>
      <c r="Q47" s="112"/>
      <c r="R47" s="112"/>
      <c r="S47" s="158"/>
      <c r="T47" s="112"/>
      <c r="U47" s="112"/>
      <c r="V47" s="112"/>
      <c r="W47" s="158"/>
      <c r="X47" s="112"/>
      <c r="Y47" s="112"/>
      <c r="Z47" s="112"/>
      <c r="AA47" s="158"/>
      <c r="AB47" s="112"/>
      <c r="AC47" s="112"/>
      <c r="AD47" s="112"/>
      <c r="AE47" s="158"/>
      <c r="AF47" s="112"/>
      <c r="AG47" s="112"/>
      <c r="AH47" s="112"/>
      <c r="AI47" s="158"/>
      <c r="AJ47" s="112"/>
    </row>
    <row r="51" spans="12:29" ht="29.1" customHeight="1" x14ac:dyDescent="0.25">
      <c r="R51" s="66"/>
      <c r="U51" s="60" t="s">
        <v>124</v>
      </c>
    </row>
    <row r="52" spans="12:29" ht="35.4" thickBot="1" x14ac:dyDescent="0.3">
      <c r="L52" s="231" t="s">
        <v>64</v>
      </c>
      <c r="M52" s="231"/>
      <c r="N52" s="231"/>
      <c r="O52" s="231"/>
      <c r="P52" s="231"/>
      <c r="Q52" s="231"/>
      <c r="U52" s="174" t="s">
        <v>65</v>
      </c>
      <c r="V52" s="164" t="s">
        <v>59</v>
      </c>
      <c r="W52" s="164" t="s">
        <v>60</v>
      </c>
      <c r="X52" s="164" t="s">
        <v>44</v>
      </c>
      <c r="Y52" s="164" t="s">
        <v>61</v>
      </c>
      <c r="Z52" s="165" t="s">
        <v>47</v>
      </c>
      <c r="AA52" s="164" t="s">
        <v>123</v>
      </c>
      <c r="AB52" s="164" t="s">
        <v>63</v>
      </c>
      <c r="AC52" s="164" t="s">
        <v>29</v>
      </c>
    </row>
    <row r="53" spans="12:29" ht="31.8" thickBot="1" x14ac:dyDescent="0.3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122</v>
      </c>
      <c r="S53" s="30" t="s">
        <v>50</v>
      </c>
      <c r="U53" s="166" t="s">
        <v>41</v>
      </c>
      <c r="V53" s="168">
        <f>'[1]Project Summary'!$L$18</f>
        <v>3.6806382000000002</v>
      </c>
      <c r="W53" s="169">
        <f>'[2]Project Summary'!$L$18</f>
        <v>5.9034896285714309</v>
      </c>
      <c r="X53" s="169">
        <f>'[3]Project Summary'!$L$18</f>
        <v>0.48546492857142853</v>
      </c>
      <c r="Y53" s="169">
        <f>'[4]Project Summary'!$L$18</f>
        <v>0.24255795714285708</v>
      </c>
      <c r="Z53" s="169">
        <f>'[5]Project Summary'!$L$18</f>
        <v>0.29191159999999999</v>
      </c>
      <c r="AA53" s="169">
        <f>'[6]Project Summary'!$L$18</f>
        <v>0</v>
      </c>
      <c r="AB53" s="169">
        <f>'[7]Project Summary'!$L$18</f>
        <v>1.5309041142857143</v>
      </c>
      <c r="AC53" s="169">
        <f>SUM(V53:AB53)</f>
        <v>12.134966428571431</v>
      </c>
    </row>
    <row r="54" spans="12:29" ht="26.1" customHeight="1" x14ac:dyDescent="0.25">
      <c r="L54" s="20" t="s">
        <v>68</v>
      </c>
      <c r="M54" s="44">
        <f t="shared" ref="M54:M59" si="10">SUM(N54:R54)</f>
        <v>1.1717344999999999</v>
      </c>
      <c r="N54" s="44">
        <f>'[1]Project Summary'!$I$18</f>
        <v>1.1717344999999999</v>
      </c>
      <c r="O54" s="45"/>
      <c r="P54" s="45"/>
      <c r="Q54" s="45"/>
      <c r="R54" s="45">
        <f>'[6]Project Summary'!$I$18</f>
        <v>0</v>
      </c>
      <c r="S54" s="45"/>
      <c r="U54" s="166" t="s">
        <v>43</v>
      </c>
      <c r="V54" s="168">
        <f>'[1]Project Summary'!$L$19</f>
        <v>0</v>
      </c>
      <c r="W54" s="169">
        <f>'[2]Project Summary'!$L$19</f>
        <v>3.82143E-2</v>
      </c>
      <c r="X54" s="169">
        <f>'[3]Project Summary'!$L$19</f>
        <v>9.9999999999999995E-8</v>
      </c>
      <c r="Y54" s="169">
        <f>'[4]Project Summary'!$L$19</f>
        <v>8.8571300000000006E-2</v>
      </c>
      <c r="Z54" s="169">
        <f>'[5]Project Summary'!$L$19</f>
        <v>0.42161400476190475</v>
      </c>
      <c r="AA54" s="169">
        <f>'[6]Project Summary'!$L$19</f>
        <v>0.47657660000000002</v>
      </c>
      <c r="AB54" s="169">
        <f>'[7]Project Summary'!$L$19</f>
        <v>0.41800527619047623</v>
      </c>
      <c r="AC54" s="169">
        <f>SUM(V54:AB54)</f>
        <v>1.4429815809523809</v>
      </c>
    </row>
    <row r="55" spans="12:29" ht="26.1" customHeight="1" x14ac:dyDescent="0.25">
      <c r="L55" s="22" t="s">
        <v>69</v>
      </c>
      <c r="M55" s="44">
        <f t="shared" si="10"/>
        <v>2.3479263000000001</v>
      </c>
      <c r="N55" s="44">
        <f>'[1]Project Summary'!$I$19</f>
        <v>2.2479263</v>
      </c>
      <c r="O55" s="45"/>
      <c r="P55" s="45"/>
      <c r="Q55" s="45"/>
      <c r="R55" s="45">
        <f>'[6]Project Summary'!$I$19</f>
        <v>0.1</v>
      </c>
      <c r="S55" s="45"/>
      <c r="U55" s="166" t="s">
        <v>70</v>
      </c>
      <c r="V55" s="168">
        <f>'[1]Project Summary'!$L$20</f>
        <v>0</v>
      </c>
      <c r="W55" s="169">
        <f>'[2]Project Summary'!$L$20</f>
        <v>0</v>
      </c>
      <c r="X55" s="169">
        <f>'[3]Project Summary'!$L$20</f>
        <v>0</v>
      </c>
      <c r="Y55" s="169">
        <f>'[4]Project Summary'!$L$20</f>
        <v>0</v>
      </c>
      <c r="Z55" s="169">
        <f>'[5]Project Summary'!$L$20</f>
        <v>0.12619049047619049</v>
      </c>
      <c r="AA55" s="169">
        <f>'[6]Project Summary'!$L$20</f>
        <v>0</v>
      </c>
      <c r="AB55" s="169">
        <f>'[7]Project Summary'!$L$20</f>
        <v>0</v>
      </c>
      <c r="AC55" s="169">
        <f>SUM(V55:AB55)</f>
        <v>0.12619049047619049</v>
      </c>
    </row>
    <row r="56" spans="12:29" ht="26.1" customHeight="1" x14ac:dyDescent="0.25">
      <c r="L56" s="22" t="s">
        <v>71</v>
      </c>
      <c r="M56" s="44">
        <f t="shared" si="10"/>
        <v>0.7007274</v>
      </c>
      <c r="N56" s="44">
        <f>'[1]Project Summary'!$I$20</f>
        <v>0.7007274</v>
      </c>
      <c r="O56" s="45"/>
      <c r="P56" s="45"/>
      <c r="Q56" s="45"/>
      <c r="R56" s="45">
        <f>'[6]Project Summary'!$I$20</f>
        <v>0</v>
      </c>
      <c r="S56" s="45"/>
      <c r="U56" s="166" t="str">
        <f>CONCATENATE("Demand For Registrations 
post 20th of last month")</f>
        <v>Demand For Registrations 
post 20th of last month</v>
      </c>
      <c r="V56" s="168">
        <f>'[1]Project Summary'!$L$2</f>
        <v>0</v>
      </c>
      <c r="W56" s="169">
        <f>'[2]Project Summary'!$L$21</f>
        <v>0</v>
      </c>
      <c r="X56" s="169">
        <f>'[3]Project Summary'!$L$21</f>
        <v>0.19047624761904763</v>
      </c>
      <c r="Y56" s="169">
        <f>'[4]Project Summary'!$L$21</f>
        <v>0.20846761428571417</v>
      </c>
      <c r="Z56" s="169">
        <f>'[5]Project Summary'!$L$21</f>
        <v>1.7596301190476191</v>
      </c>
      <c r="AA56" s="169">
        <f>'[6]Project Summary'!$L$21</f>
        <v>0</v>
      </c>
      <c r="AB56" s="169">
        <f>'[7]Project Summary'!$L$21</f>
        <v>1.2585609523809514E-2</v>
      </c>
      <c r="AC56" s="169">
        <f>SUM(V56:AB56)</f>
        <v>2.1711595904761909</v>
      </c>
    </row>
    <row r="57" spans="12:29" ht="26.1" customHeight="1" x14ac:dyDescent="0.25">
      <c r="L57" s="22" t="s">
        <v>72</v>
      </c>
      <c r="M57" s="44">
        <f t="shared" si="10"/>
        <v>1.4966375000000001</v>
      </c>
      <c r="N57" s="44">
        <f>'[1]Project Summary'!$I$21</f>
        <v>1.4966375000000001</v>
      </c>
      <c r="O57" s="45"/>
      <c r="P57" s="45"/>
      <c r="Q57" s="45"/>
      <c r="R57" s="45">
        <f>'[6]Project Summary'!$I$21</f>
        <v>0</v>
      </c>
      <c r="S57" s="45"/>
      <c r="U57" s="166" t="str">
        <f>CONCATENATE("Expected New Monthly
Registrations")</f>
        <v>Expected New Monthly
Registrations</v>
      </c>
      <c r="V57" s="168">
        <f>'[1]Project Summary'!$L$22</f>
        <v>0</v>
      </c>
      <c r="W57" s="169">
        <f>'[2]Project Summary'!$L$22</f>
        <v>0</v>
      </c>
      <c r="X57" s="169">
        <f>'[3]Project Summary'!$L$22</f>
        <v>0.93933469047619045</v>
      </c>
      <c r="Y57" s="169">
        <f>'[4]Project Summary'!$L$22</f>
        <v>4.8951823809523808E-2</v>
      </c>
      <c r="Z57" s="169">
        <f>'[5]Project Summary'!$L$22</f>
        <v>2.8160576190476214E-2</v>
      </c>
      <c r="AA57" s="169">
        <f>'[6]Project Summary'!$L$22</f>
        <v>0</v>
      </c>
      <c r="AB57" s="169">
        <f>'[7]Project Summary'!$L$22</f>
        <v>0</v>
      </c>
      <c r="AC57" s="169">
        <f>SUM(V57:AB57)</f>
        <v>1.0164470904761904</v>
      </c>
    </row>
    <row r="58" spans="12:29" ht="26.1" customHeight="1" x14ac:dyDescent="0.25">
      <c r="L58" s="22" t="s">
        <v>73</v>
      </c>
      <c r="M58" s="44">
        <f t="shared" si="10"/>
        <v>4.8954400000000002E-2</v>
      </c>
      <c r="N58" s="44">
        <f>'[1]Project Summary'!$I$22</f>
        <v>4.8954400000000002E-2</v>
      </c>
      <c r="O58" s="45"/>
      <c r="P58" s="45"/>
      <c r="Q58" s="45"/>
      <c r="R58" s="45">
        <f>'[6]Project Summary'!$I$22</f>
        <v>0</v>
      </c>
      <c r="S58" s="45"/>
      <c r="U58" s="175" t="s">
        <v>74</v>
      </c>
      <c r="V58" s="167">
        <f t="shared" ref="V58:AC58" si="11">SUM(V53:V57)</f>
        <v>3.6806382000000002</v>
      </c>
      <c r="W58" s="167">
        <f t="shared" si="11"/>
        <v>5.9417039285714308</v>
      </c>
      <c r="X58" s="167">
        <f t="shared" si="11"/>
        <v>1.6152759666666667</v>
      </c>
      <c r="Y58" s="167">
        <f t="shared" si="11"/>
        <v>0.58854869523809505</v>
      </c>
      <c r="Z58" s="167">
        <f t="shared" si="11"/>
        <v>2.6275067904761906</v>
      </c>
      <c r="AA58" s="167">
        <f t="shared" si="11"/>
        <v>0.47657660000000002</v>
      </c>
      <c r="AB58" s="167">
        <f t="shared" si="11"/>
        <v>1.961495</v>
      </c>
      <c r="AC58" s="167">
        <f t="shared" si="11"/>
        <v>16.891745180952384</v>
      </c>
    </row>
    <row r="59" spans="12:29" ht="26.1" customHeight="1" thickBot="1" x14ac:dyDescent="0.3">
      <c r="L59" s="23" t="s">
        <v>75</v>
      </c>
      <c r="M59" s="44">
        <f t="shared" si="10"/>
        <v>1.1047847</v>
      </c>
      <c r="N59" s="44">
        <f>'[1]Project Summary'!$I$23</f>
        <v>1.1047847</v>
      </c>
      <c r="O59" s="45"/>
      <c r="P59" s="45"/>
      <c r="Q59" s="45"/>
      <c r="R59" s="45">
        <f>'[6]Project Summary'!$I$23</f>
        <v>0</v>
      </c>
      <c r="S59" s="45"/>
    </row>
    <row r="60" spans="12:29" ht="16.2" thickBot="1" x14ac:dyDescent="0.3">
      <c r="L60" s="25" t="s">
        <v>76</v>
      </c>
      <c r="M60" s="46">
        <f t="shared" ref="M60:S60" si="12">SUM(M54:M58)</f>
        <v>5.7659801000000011</v>
      </c>
      <c r="N60" s="46">
        <f t="shared" si="12"/>
        <v>5.6659801000000005</v>
      </c>
      <c r="O60" s="46">
        <f t="shared" si="12"/>
        <v>0</v>
      </c>
      <c r="P60" s="46">
        <f t="shared" si="12"/>
        <v>0</v>
      </c>
      <c r="Q60" s="46">
        <f t="shared" si="12"/>
        <v>0</v>
      </c>
      <c r="R60" s="46">
        <f t="shared" si="12"/>
        <v>0.1</v>
      </c>
      <c r="S60" s="46">
        <f t="shared" si="12"/>
        <v>0</v>
      </c>
    </row>
  </sheetData>
  <sheetProtection formatCells="0"/>
  <mergeCells count="15">
    <mergeCell ref="B1:D1"/>
    <mergeCell ref="B2:D2"/>
    <mergeCell ref="F5:G5"/>
    <mergeCell ref="AG34:AJ34"/>
    <mergeCell ref="L52:Q52"/>
    <mergeCell ref="L18:O18"/>
    <mergeCell ref="S18:V18"/>
    <mergeCell ref="M34:P34"/>
    <mergeCell ref="Q34:T34"/>
    <mergeCell ref="U34:X34"/>
    <mergeCell ref="F2:G2"/>
    <mergeCell ref="B3:D3"/>
    <mergeCell ref="B4:D4"/>
    <mergeCell ref="Y34:AB34"/>
    <mergeCell ref="AC34:AF34"/>
  </mergeCells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7E58-C50C-4044-8BD5-6955ABCC76AE}">
  <sheetPr codeName="Sheet3"/>
  <dimension ref="B1:BA12"/>
  <sheetViews>
    <sheetView zoomScale="57" workbookViewId="0">
      <selection activeCell="AY6" sqref="AY6"/>
    </sheetView>
  </sheetViews>
  <sheetFormatPr defaultColWidth="25.5546875" defaultRowHeight="14.4" x14ac:dyDescent="0.3"/>
  <cols>
    <col min="1" max="1" width="6.77734375" customWidth="1"/>
    <col min="2" max="2" width="24.109375" customWidth="1"/>
    <col min="3" max="3" width="20.5546875" customWidth="1"/>
    <col min="4" max="4" width="17.6640625" customWidth="1"/>
    <col min="5" max="5" width="21.6640625" customWidth="1"/>
    <col min="6" max="6" width="18.33203125" customWidth="1"/>
    <col min="7" max="7" width="22.33203125" customWidth="1"/>
    <col min="8" max="8" width="25" bestFit="1" customWidth="1"/>
    <col min="9" max="9" width="20.109375" bestFit="1" customWidth="1"/>
    <col min="10" max="10" width="16.88671875" customWidth="1"/>
    <col min="11" max="11" width="20.6640625" customWidth="1"/>
    <col min="12" max="12" width="22.109375" bestFit="1" customWidth="1"/>
    <col min="13" max="13" width="25.33203125" customWidth="1"/>
    <col min="14" max="14" width="25.5546875" bestFit="1" customWidth="1"/>
    <col min="15" max="15" width="25.6640625" bestFit="1" customWidth="1"/>
    <col min="16" max="16" width="21.6640625" bestFit="1" customWidth="1"/>
    <col min="17" max="17" width="29" bestFit="1" customWidth="1"/>
    <col min="18" max="18" width="20.6640625" bestFit="1" customWidth="1"/>
    <col min="19" max="19" width="25.6640625" bestFit="1" customWidth="1"/>
    <col min="20" max="20" width="7.109375" customWidth="1"/>
    <col min="21" max="21" width="20.33203125" bestFit="1" customWidth="1"/>
    <col min="22" max="22" width="22.5546875" bestFit="1" customWidth="1"/>
    <col min="23" max="23" width="27.6640625" bestFit="1" customWidth="1"/>
    <col min="24" max="24" width="23.5546875" bestFit="1" customWidth="1"/>
    <col min="25" max="25" width="25.109375" bestFit="1" customWidth="1"/>
    <col min="26" max="26" width="22.5546875" bestFit="1" customWidth="1"/>
    <col min="27" max="27" width="23.5546875" bestFit="1" customWidth="1"/>
    <col min="28" max="28" width="20.33203125" bestFit="1" customWidth="1"/>
    <col min="29" max="29" width="21.33203125" bestFit="1" customWidth="1"/>
    <col min="30" max="30" width="23.33203125" bestFit="1" customWidth="1"/>
    <col min="31" max="31" width="20" bestFit="1" customWidth="1"/>
    <col min="32" max="32" width="23.6640625" bestFit="1" customWidth="1"/>
    <col min="33" max="33" width="21.88671875" bestFit="1" customWidth="1"/>
    <col min="34" max="34" width="34.6640625" bestFit="1" customWidth="1"/>
    <col min="35" max="35" width="38.88671875" bestFit="1" customWidth="1"/>
    <col min="36" max="36" width="32.88671875" bestFit="1" customWidth="1"/>
    <col min="37" max="37" width="38.88671875" bestFit="1" customWidth="1"/>
    <col min="38" max="38" width="29.88671875" bestFit="1" customWidth="1"/>
    <col min="39" max="39" width="30.5546875" bestFit="1" customWidth="1"/>
    <col min="40" max="41" width="29.88671875" bestFit="1" customWidth="1"/>
    <col min="42" max="42" width="23.33203125" bestFit="1" customWidth="1"/>
    <col min="43" max="43" width="30.5546875" bestFit="1" customWidth="1"/>
    <col min="44" max="44" width="20.33203125" bestFit="1" customWidth="1"/>
    <col min="45" max="45" width="27" bestFit="1" customWidth="1"/>
    <col min="46" max="46" width="0" hidden="1" customWidth="1"/>
    <col min="47" max="47" width="5.109375" customWidth="1"/>
    <col min="48" max="48" width="35.88671875" customWidth="1"/>
    <col min="49" max="51" width="21.109375" customWidth="1"/>
    <col min="52" max="52" width="17" customWidth="1"/>
    <col min="53" max="53" width="21.109375" customWidth="1"/>
    <col min="54" max="54" width="11.5546875" customWidth="1"/>
    <col min="55" max="55" width="13.21875" customWidth="1"/>
  </cols>
  <sheetData>
    <row r="1" spans="2:53" ht="57.6" customHeight="1" thickBot="1" x14ac:dyDescent="0.35">
      <c r="B1" s="13" t="s">
        <v>32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119</v>
      </c>
      <c r="H1" s="199" t="str">
        <f>Overall_Draft!L3</f>
        <v>Projects</v>
      </c>
      <c r="I1" s="199" t="str">
        <f>Overall_Draft!M3</f>
        <v>Total Live Bookings</v>
      </c>
      <c r="J1" s="199" t="str">
        <f>Overall_Draft!N3</f>
        <v>Daily Collection (In Cr)</v>
      </c>
      <c r="K1" s="199" t="str">
        <f>Overall_Draft!O3</f>
        <v>Monthly Collection (In Cr)</v>
      </c>
      <c r="L1" s="199" t="str">
        <f>Overall_Draft!P3</f>
        <v>Monthly Registrations</v>
      </c>
      <c r="M1" s="199" t="str">
        <f>Overall_Draft!Q3</f>
        <v>Actual Demand Raised (In Cr) till date</v>
      </c>
      <c r="N1" s="199" t="str">
        <f>Overall_Draft!R3</f>
        <v>Collection (In Cr) till date</v>
      </c>
      <c r="O1" s="199" t="str">
        <f>Overall_Draft!S3</f>
        <v>Outstanding (In Cr) till date</v>
      </c>
      <c r="P1" s="199" t="str">
        <f>Overall_Draft!T3</f>
        <v xml:space="preserve">Pending Registrations </v>
      </c>
      <c r="Q1" s="199" t="str">
        <f>Overall_Draft!U3</f>
        <v>Pending Registrations (&gt; 45 days)</v>
      </c>
      <c r="R1" s="199" t="str">
        <f>Overall_Draft!V3</f>
        <v>Registration 
Targets</v>
      </c>
      <c r="S1" s="199" t="str">
        <f>Overall_Draft!W3</f>
        <v>Outstanding (In Cr) till date</v>
      </c>
      <c r="T1" s="15" t="s">
        <v>125</v>
      </c>
      <c r="U1" s="15" t="s">
        <v>55</v>
      </c>
      <c r="V1" s="15" t="s">
        <v>126</v>
      </c>
      <c r="W1" s="15" t="s">
        <v>127</v>
      </c>
      <c r="X1" s="15" t="s">
        <v>128</v>
      </c>
      <c r="Y1" s="15" t="s">
        <v>129</v>
      </c>
      <c r="Z1" s="15" t="s">
        <v>130</v>
      </c>
      <c r="AA1" s="15" t="s">
        <v>131</v>
      </c>
      <c r="AB1" s="15" t="s">
        <v>132</v>
      </c>
      <c r="AC1" s="15" t="s">
        <v>133</v>
      </c>
      <c r="AD1" s="15" t="s">
        <v>134</v>
      </c>
      <c r="AE1" s="15" t="s">
        <v>135</v>
      </c>
      <c r="AF1" s="15" t="s">
        <v>136</v>
      </c>
      <c r="AG1" s="15" t="s">
        <v>137</v>
      </c>
      <c r="AH1" s="15" t="s">
        <v>138</v>
      </c>
      <c r="AI1" s="15" t="s">
        <v>139</v>
      </c>
      <c r="AJ1" s="15" t="s">
        <v>140</v>
      </c>
      <c r="AK1" s="15" t="s">
        <v>141</v>
      </c>
      <c r="AL1" s="15" t="s">
        <v>142</v>
      </c>
      <c r="AM1" s="15" t="s">
        <v>143</v>
      </c>
      <c r="AN1" s="15" t="s">
        <v>144</v>
      </c>
      <c r="AO1" s="15" t="s">
        <v>145</v>
      </c>
      <c r="AP1" s="15" t="s">
        <v>146</v>
      </c>
      <c r="AQ1" s="15" t="s">
        <v>147</v>
      </c>
      <c r="AR1" s="15" t="s">
        <v>148</v>
      </c>
      <c r="AS1" s="34" t="s">
        <v>149</v>
      </c>
      <c r="AV1" s="13" t="str">
        <f>Overall!S19</f>
        <v>TARGET CATEGORY</v>
      </c>
      <c r="AW1" s="15" t="str">
        <f>Overall!T19</f>
        <v>Target</v>
      </c>
      <c r="AX1" s="15" t="str">
        <f>Overall!U19</f>
        <v>Achievement</v>
      </c>
      <c r="AY1" s="15" t="str">
        <f>Overall!V19</f>
        <v>Achievement %</v>
      </c>
      <c r="AZ1" s="15" t="str">
        <f>Overall!W19</f>
        <v>Forecast as per CRM</v>
      </c>
      <c r="BA1" s="34" t="str">
        <f>Overall!X19</f>
        <v>Balance</v>
      </c>
    </row>
    <row r="2" spans="2:53" ht="68.400000000000006" customHeight="1" x14ac:dyDescent="0.3">
      <c r="B2" s="215" t="str">
        <f>Overall_Draft!L20</f>
        <v>RAGHAV 
Paradise</v>
      </c>
      <c r="C2" s="216">
        <f>Overall_Draft!M20</f>
        <v>6.0278847000000004</v>
      </c>
      <c r="D2" s="216">
        <f>Overall_Draft!N20</f>
        <v>4.4100472000000002</v>
      </c>
      <c r="E2" s="217">
        <f t="shared" ref="E2:E9" si="0">IFERROR(D2/C2,"")</f>
        <v>0.73160775620011442</v>
      </c>
      <c r="F2" s="216">
        <f>Overall_Draft!P20</f>
        <v>2.04</v>
      </c>
      <c r="G2" s="216">
        <f>Overall_Draft!Q20</f>
        <v>-2.3700472000000001</v>
      </c>
      <c r="H2" s="218" t="str">
        <f>Overall_Draft!L4</f>
        <v>RAGHAV Paradise</v>
      </c>
      <c r="I2" s="218">
        <f>Overall_Draft!M4</f>
        <v>187</v>
      </c>
      <c r="J2" s="204">
        <f>Overall_Draft!N4</f>
        <v>0</v>
      </c>
      <c r="K2" s="204">
        <f>Overall_Draft!O4</f>
        <v>4.4807138999999996</v>
      </c>
      <c r="L2" s="218">
        <f>Overall_Draft!P4</f>
        <v>1</v>
      </c>
      <c r="M2" s="204">
        <f>Overall_Draft!Q4</f>
        <v>206.6961451</v>
      </c>
      <c r="N2" s="204">
        <f>Overall_Draft!R4</f>
        <v>205.6492499</v>
      </c>
      <c r="O2" s="204">
        <f>Overall_Draft!S4</f>
        <v>3.6806382000000002</v>
      </c>
      <c r="P2" s="218">
        <f>Overall_Draft!T4</f>
        <v>1</v>
      </c>
      <c r="Q2" s="218">
        <f>Overall_Draft!U4</f>
        <v>1</v>
      </c>
      <c r="R2" s="218">
        <f>Overall_Draft!V4</f>
        <v>0</v>
      </c>
      <c r="S2" s="204">
        <f>Overall_Draft!W4</f>
        <v>0</v>
      </c>
      <c r="T2" s="198"/>
      <c r="U2" s="203" t="str">
        <f>Overall_Draft!L36</f>
        <v>Paradise</v>
      </c>
      <c r="V2" s="204">
        <f>Overall_Draft!M36</f>
        <v>6.0278847000000004</v>
      </c>
      <c r="W2" s="204">
        <f>Overall_Draft!N36</f>
        <v>2.5798586000000001</v>
      </c>
      <c r="X2" s="205">
        <f>Overall_Draft!O36</f>
        <v>0.4279873833684974</v>
      </c>
      <c r="Y2" s="204">
        <f>Overall_Draft!P36</f>
        <v>2.04</v>
      </c>
      <c r="Z2" s="204">
        <f>Overall_Draft!Q36</f>
        <v>0.2030189</v>
      </c>
      <c r="AA2" s="204">
        <f>Overall_Draft!R36</f>
        <v>0</v>
      </c>
      <c r="AB2" s="205">
        <f>Overall_Draft!S36</f>
        <v>0</v>
      </c>
      <c r="AC2" s="204">
        <f>Overall_Draft!T36</f>
        <v>0.2</v>
      </c>
      <c r="AD2" s="204">
        <f>Overall_Draft!U36</f>
        <v>0</v>
      </c>
      <c r="AE2" s="204">
        <f>Overall_Draft!V36</f>
        <v>0</v>
      </c>
      <c r="AF2" s="205" t="e">
        <f>Overall_Draft!W36</f>
        <v>#DIV/0!</v>
      </c>
      <c r="AG2" s="204">
        <f>Overall_Draft!X36</f>
        <v>0</v>
      </c>
      <c r="AH2" s="204">
        <f>Overall_Draft!Y36</f>
        <v>0</v>
      </c>
      <c r="AI2" s="204">
        <f>Overall_Draft!Z36</f>
        <v>0</v>
      </c>
      <c r="AJ2" s="205" t="e">
        <f>Overall_Draft!AA36</f>
        <v>#DIV/0!</v>
      </c>
      <c r="AK2" s="204">
        <f>Overall_Draft!AB36</f>
        <v>0</v>
      </c>
      <c r="AL2" s="204">
        <f>Overall_Draft!AC36</f>
        <v>0</v>
      </c>
      <c r="AM2" s="204">
        <f>Overall_Draft!AD36</f>
        <v>1.8301886000000001</v>
      </c>
      <c r="AN2" s="205" t="e">
        <f>Overall_Draft!AE36</f>
        <v>#DIV/0!</v>
      </c>
      <c r="AO2" s="204">
        <f>Overall_Draft!AF36</f>
        <v>0</v>
      </c>
      <c r="AP2" s="204">
        <f>Overall_Draft!AG36</f>
        <v>0</v>
      </c>
      <c r="AQ2" s="204">
        <f>Overall_Draft!AH36</f>
        <v>0</v>
      </c>
      <c r="AR2" s="205" t="e">
        <f>Overall_Draft!AI36</f>
        <v>#DIV/0!</v>
      </c>
      <c r="AS2" s="206">
        <f>Overall_Draft!AJ36</f>
        <v>0</v>
      </c>
      <c r="AV2" s="202" t="str">
        <f>Overall!S20</f>
        <v xml:space="preserve">Spill 
Over </v>
      </c>
      <c r="AW2" s="204">
        <f>Overall!T20</f>
        <v>13.627007200000001</v>
      </c>
      <c r="AX2" s="204">
        <f>Overall!U20</f>
        <v>7.0392804246190455</v>
      </c>
      <c r="AY2" s="205">
        <f>Overall!V20</f>
        <v>0.5165683353142313</v>
      </c>
      <c r="AZ2" s="204">
        <f>Overall!W20</f>
        <v>7.2400000000000011</v>
      </c>
      <c r="BA2" s="206">
        <f>Overall!X20</f>
        <v>6.3870072000000002</v>
      </c>
    </row>
    <row r="3" spans="2:53" ht="68.400000000000006" customHeight="1" x14ac:dyDescent="0.3">
      <c r="B3" s="219" t="str">
        <f>Overall_Draft!L21</f>
        <v>RAGHAV 
Parijat</v>
      </c>
      <c r="C3" s="220">
        <f>Overall_Draft!M21</f>
        <v>14.267345199999999</v>
      </c>
      <c r="D3" s="220">
        <f>Overall_Draft!N21</f>
        <v>8.6502189809523795</v>
      </c>
      <c r="E3" s="221">
        <f t="shared" si="0"/>
        <v>0.60629492450721523</v>
      </c>
      <c r="F3" s="220">
        <f>Overall_Draft!P21</f>
        <v>0.68</v>
      </c>
      <c r="G3" s="220">
        <f>Overall_Draft!Q21</f>
        <v>-7.9702189809523798</v>
      </c>
      <c r="H3" s="123" t="str">
        <f>Overall_Draft!L5</f>
        <v>RAGHAV Parijat</v>
      </c>
      <c r="I3" s="123">
        <f>Overall_Draft!M5</f>
        <v>105</v>
      </c>
      <c r="J3" s="208">
        <f ca="1">Overall_Draft!N5</f>
        <v>0</v>
      </c>
      <c r="K3" s="208">
        <f>Overall_Draft!O5</f>
        <v>8.6502189809523831</v>
      </c>
      <c r="L3" s="123">
        <f>Overall_Draft!P5</f>
        <v>0</v>
      </c>
      <c r="M3" s="208">
        <f>Overall_Draft!Q5</f>
        <v>101.85285759999999</v>
      </c>
      <c r="N3" s="208">
        <f>Overall_Draft!R5</f>
        <v>96.866327980952377</v>
      </c>
      <c r="O3" s="208">
        <f>Overall_Draft!S5</f>
        <v>5.9417039285714308</v>
      </c>
      <c r="P3" s="123">
        <f>Overall_Draft!T5</f>
        <v>1</v>
      </c>
      <c r="Q3" s="123">
        <f ca="1">Overall_Draft!U5</f>
        <v>1</v>
      </c>
      <c r="R3" s="123">
        <f>Overall_Draft!V5</f>
        <v>1</v>
      </c>
      <c r="S3" s="208">
        <f>Overall_Draft!W5</f>
        <v>0</v>
      </c>
      <c r="T3" s="108"/>
      <c r="U3" s="207" t="str">
        <f>Overall_Draft!L37</f>
        <v>Raghav 
Parijat</v>
      </c>
      <c r="V3" s="208">
        <f>Overall_Draft!M37</f>
        <v>2.4173452000000002</v>
      </c>
      <c r="W3" s="208">
        <f>Overall_Draft!N37</f>
        <v>1.1720278380952358</v>
      </c>
      <c r="X3" s="209">
        <f>Overall_Draft!O37</f>
        <v>0.48484090650157691</v>
      </c>
      <c r="Y3" s="208">
        <f>Overall_Draft!P37</f>
        <v>0.68</v>
      </c>
      <c r="Z3" s="208">
        <f>Overall_Draft!Q37</f>
        <v>0</v>
      </c>
      <c r="AA3" s="208">
        <f>Overall_Draft!R37</f>
        <v>0</v>
      </c>
      <c r="AB3" s="209" t="e">
        <f>Overall_Draft!S37</f>
        <v>#DIV/0!</v>
      </c>
      <c r="AC3" s="208">
        <f>Overall_Draft!T37</f>
        <v>0</v>
      </c>
      <c r="AD3" s="208">
        <f>Overall_Draft!U37</f>
        <v>0</v>
      </c>
      <c r="AE3" s="208">
        <f>Overall_Draft!V37</f>
        <v>0</v>
      </c>
      <c r="AF3" s="209" t="e">
        <f>Overall_Draft!W37</f>
        <v>#DIV/0!</v>
      </c>
      <c r="AG3" s="208">
        <f>Overall_Draft!X37</f>
        <v>0</v>
      </c>
      <c r="AH3" s="208">
        <f>Overall_Draft!Y37</f>
        <v>0</v>
      </c>
      <c r="AI3" s="208">
        <f>Overall_Draft!Z37</f>
        <v>0</v>
      </c>
      <c r="AJ3" s="209" t="e">
        <f>Overall_Draft!AA37</f>
        <v>#DIV/0!</v>
      </c>
      <c r="AK3" s="208">
        <f>Overall_Draft!AB37</f>
        <v>0</v>
      </c>
      <c r="AL3" s="208">
        <f>Overall_Draft!AC37</f>
        <v>0</v>
      </c>
      <c r="AM3" s="208">
        <f>Overall_Draft!AD37</f>
        <v>0</v>
      </c>
      <c r="AN3" s="209" t="e">
        <f>Overall_Draft!AE37</f>
        <v>#DIV/0!</v>
      </c>
      <c r="AO3" s="208">
        <f>Overall_Draft!AF37</f>
        <v>0</v>
      </c>
      <c r="AP3" s="208">
        <f>Overall_Draft!AG37</f>
        <v>11.85</v>
      </c>
      <c r="AQ3" s="208">
        <f>Overall_Draft!AH37</f>
        <v>7.4781911428571437</v>
      </c>
      <c r="AR3" s="209">
        <f>Overall_Draft!AI37</f>
        <v>0.63107098251959015</v>
      </c>
      <c r="AS3" s="210">
        <f>Overall_Draft!AJ37</f>
        <v>0</v>
      </c>
      <c r="AV3" s="200" t="str">
        <f>Overall!S21</f>
        <v xml:space="preserve">Own Contribution (OCR) 
- Unregistered </v>
      </c>
      <c r="AW3" s="208">
        <f>Overall!T21</f>
        <v>1.9380641000000001</v>
      </c>
      <c r="AX3" s="208">
        <f>Overall!U21</f>
        <v>0.90137076190476173</v>
      </c>
      <c r="AY3" s="209">
        <f>Overall!V21</f>
        <v>0.46508820936560441</v>
      </c>
      <c r="AZ3" s="208">
        <f>Overall!W21</f>
        <v>0.2</v>
      </c>
      <c r="BA3" s="210">
        <f>Overall!X21</f>
        <v>1.7380641000000001</v>
      </c>
    </row>
    <row r="4" spans="2:53" ht="68.400000000000006" customHeight="1" x14ac:dyDescent="0.3">
      <c r="B4" s="219" t="str">
        <f>Overall_Draft!L22</f>
        <v>RAGHAV 
ANANTA</v>
      </c>
      <c r="C4" s="220">
        <f>Overall_Draft!M22</f>
        <v>8.0769663999999999</v>
      </c>
      <c r="D4" s="220">
        <f>Overall_Draft!N22</f>
        <v>4.520920343666667</v>
      </c>
      <c r="E4" s="221">
        <f t="shared" si="0"/>
        <v>0.55972999264509349</v>
      </c>
      <c r="F4" s="220">
        <f>Overall_Draft!P22</f>
        <v>6.35</v>
      </c>
      <c r="G4" s="220">
        <f>Overall_Draft!Q22</f>
        <v>1.8290796563333327</v>
      </c>
      <c r="H4" s="123" t="str">
        <f>Overall_Draft!L6</f>
        <v>RAGHAV ANANTA</v>
      </c>
      <c r="I4" s="123">
        <f>Overall_Draft!M6</f>
        <v>74</v>
      </c>
      <c r="J4" s="208">
        <f>Overall_Draft!N6</f>
        <v>0</v>
      </c>
      <c r="K4" s="208">
        <f>Overall_Draft!O6</f>
        <v>5.3060297722380962</v>
      </c>
      <c r="L4" s="123">
        <f>Overall_Draft!P6</f>
        <v>4</v>
      </c>
      <c r="M4" s="208">
        <f>Overall_Draft!Q6</f>
        <v>45.568174599999999</v>
      </c>
      <c r="N4" s="208">
        <f>Overall_Draft!R6</f>
        <v>46.860068677000001</v>
      </c>
      <c r="O4" s="208">
        <f>Overall_Draft!S6</f>
        <v>1.6152759666666665</v>
      </c>
      <c r="P4" s="123">
        <f>Overall_Draft!T6</f>
        <v>15</v>
      </c>
      <c r="Q4" s="123">
        <f>Overall_Draft!U6</f>
        <v>10</v>
      </c>
      <c r="R4" s="123">
        <f>Overall_Draft!V6</f>
        <v>10</v>
      </c>
      <c r="S4" s="208">
        <f>Overall_Draft!W6</f>
        <v>0</v>
      </c>
      <c r="T4" s="108"/>
      <c r="U4" s="207" t="str">
        <f>Overall_Draft!L38</f>
        <v>RAGHAV 
ANANTA</v>
      </c>
      <c r="V4" s="208">
        <f>Overall_Draft!M38</f>
        <v>2.2269663999999998</v>
      </c>
      <c r="W4" s="208">
        <f>Overall_Draft!N38</f>
        <v>1.6921174722380952</v>
      </c>
      <c r="X4" s="209">
        <f>Overall_Draft!O38</f>
        <v>0.75983071511006872</v>
      </c>
      <c r="Y4" s="208">
        <f>Overall_Draft!P38</f>
        <v>2.08</v>
      </c>
      <c r="Z4" s="208">
        <f>Overall_Draft!Q38</f>
        <v>0.48930010000000002</v>
      </c>
      <c r="AA4" s="208">
        <f>Overall_Draft!R38</f>
        <v>0.51428571428571412</v>
      </c>
      <c r="AB4" s="209">
        <f>Overall_Draft!S38</f>
        <v>1.0510639876953103</v>
      </c>
      <c r="AC4" s="208">
        <f>Overall_Draft!T38</f>
        <v>0</v>
      </c>
      <c r="AD4" s="208">
        <f>Overall_Draft!U38</f>
        <v>0</v>
      </c>
      <c r="AE4" s="208">
        <f>Overall_Draft!V38</f>
        <v>0.3184427619047619</v>
      </c>
      <c r="AF4" s="209" t="e">
        <f>Overall_Draft!W38</f>
        <v>#DIV/0!</v>
      </c>
      <c r="AG4" s="208">
        <f>Overall_Draft!X38</f>
        <v>0</v>
      </c>
      <c r="AH4" s="208">
        <f>Overall_Draft!Y38</f>
        <v>0.39</v>
      </c>
      <c r="AI4" s="208">
        <f>Overall_Draft!Z38</f>
        <v>0.3055852476190476</v>
      </c>
      <c r="AJ4" s="209">
        <f>Overall_Draft!AA38</f>
        <v>0.78355191697191684</v>
      </c>
      <c r="AK4" s="208">
        <f>Overall_Draft!AB38</f>
        <v>0.39</v>
      </c>
      <c r="AL4" s="208">
        <f>Overall_Draft!AC38</f>
        <v>5.46</v>
      </c>
      <c r="AM4" s="208">
        <f>Overall_Draft!AD38</f>
        <v>1.9107596238095239</v>
      </c>
      <c r="AN4" s="209">
        <f>Overall_Draft!AE38</f>
        <v>0.34995597505668935</v>
      </c>
      <c r="AO4" s="208">
        <f>Overall_Draft!AF38</f>
        <v>3.88</v>
      </c>
      <c r="AP4" s="208">
        <f>Overall_Draft!AG38</f>
        <v>0</v>
      </c>
      <c r="AQ4" s="208">
        <f>Overall_Draft!AH38</f>
        <v>0.61245799999999995</v>
      </c>
      <c r="AR4" s="209" t="e">
        <f>Overall_Draft!AI38</f>
        <v>#DIV/0!</v>
      </c>
      <c r="AS4" s="210">
        <f>Overall_Draft!AJ38</f>
        <v>0</v>
      </c>
      <c r="AV4" s="200" t="str">
        <f>Overall!S22</f>
        <v>OCR - New 
Bookings</v>
      </c>
      <c r="AW4" s="208">
        <f>Overall!T22</f>
        <v>0</v>
      </c>
      <c r="AX4" s="208">
        <f>Overall!U22</f>
        <v>0.36691961904761905</v>
      </c>
      <c r="AY4" s="209" t="e">
        <f>Overall!V22</f>
        <v>#DIV/0!</v>
      </c>
      <c r="AZ4" s="208">
        <f>Overall!W22</f>
        <v>0</v>
      </c>
      <c r="BA4" s="210">
        <f>Overall!X22</f>
        <v>0</v>
      </c>
    </row>
    <row r="5" spans="2:53" ht="68.400000000000006" customHeight="1" x14ac:dyDescent="0.3">
      <c r="B5" s="219" t="str">
        <f>Overall_Draft!L23</f>
        <v>RAGHAV 
Vista</v>
      </c>
      <c r="C5" s="220">
        <f>Overall_Draft!M23</f>
        <v>7.2772421000000005</v>
      </c>
      <c r="D5" s="220">
        <f>Overall_Draft!N23</f>
        <v>3.8847441904761904</v>
      </c>
      <c r="E5" s="221">
        <f t="shared" si="0"/>
        <v>0.53382093615879433</v>
      </c>
      <c r="F5" s="220">
        <f>Overall_Draft!P23</f>
        <v>5.05</v>
      </c>
      <c r="G5" s="220">
        <f>Overall_Draft!Q23</f>
        <v>1.1652558095238095</v>
      </c>
      <c r="H5" s="123" t="str">
        <f>Overall_Draft!L7</f>
        <v>RAGHAV Vista</v>
      </c>
      <c r="I5" s="123">
        <f>Overall_Draft!M7</f>
        <v>50</v>
      </c>
      <c r="J5" s="208">
        <f>Overall_Draft!N7</f>
        <v>0</v>
      </c>
      <c r="K5" s="208">
        <f>Overall_Draft!O7</f>
        <v>3.9736440952380963</v>
      </c>
      <c r="L5" s="123">
        <f>Overall_Draft!P7</f>
        <v>4</v>
      </c>
      <c r="M5" s="208">
        <f>Overall_Draft!Q7</f>
        <v>33.941633299999999</v>
      </c>
      <c r="N5" s="208">
        <f>Overall_Draft!R7</f>
        <v>33.694863347619048</v>
      </c>
      <c r="O5" s="208">
        <f>Overall_Draft!S7</f>
        <v>0.58854869523809505</v>
      </c>
      <c r="P5" s="123">
        <f>Overall_Draft!T7</f>
        <v>3</v>
      </c>
      <c r="Q5" s="123">
        <f>Overall_Draft!U7</f>
        <v>1</v>
      </c>
      <c r="R5" s="123">
        <f>Overall_Draft!V7</f>
        <v>7</v>
      </c>
      <c r="S5" s="208">
        <f>Overall_Draft!W7</f>
        <v>0</v>
      </c>
      <c r="T5" s="108"/>
      <c r="U5" s="207" t="str">
        <f>Overall_Draft!L39</f>
        <v>Raghav 
Vista</v>
      </c>
      <c r="V5" s="208">
        <f>Overall_Draft!M39</f>
        <v>0.45724209999999998</v>
      </c>
      <c r="W5" s="208">
        <f>Overall_Draft!N39</f>
        <v>0.33286333333333334</v>
      </c>
      <c r="X5" s="209">
        <f>Overall_Draft!O39</f>
        <v>0.72798050164963668</v>
      </c>
      <c r="Y5" s="208">
        <f>Overall_Draft!P39</f>
        <v>0.46</v>
      </c>
      <c r="Z5" s="208">
        <f>Overall_Draft!Q39</f>
        <v>0.49365490000000001</v>
      </c>
      <c r="AA5" s="208">
        <f>Overall_Draft!R39</f>
        <v>3.5090285714285713E-2</v>
      </c>
      <c r="AB5" s="209">
        <f>Overall_Draft!S39</f>
        <v>7.1082624145502676E-2</v>
      </c>
      <c r="AC5" s="208">
        <f>Overall_Draft!T39</f>
        <v>0</v>
      </c>
      <c r="AD5" s="208">
        <f>Overall_Draft!U39</f>
        <v>0</v>
      </c>
      <c r="AE5" s="208">
        <f>Overall_Draft!V39</f>
        <v>9.4285714285714285E-3</v>
      </c>
      <c r="AF5" s="209" t="e">
        <f>Overall_Draft!W39</f>
        <v>#DIV/0!</v>
      </c>
      <c r="AG5" s="208">
        <f>Overall_Draft!X39</f>
        <v>0</v>
      </c>
      <c r="AH5" s="208">
        <f>Overall_Draft!Y39</f>
        <v>2.4300000000000002</v>
      </c>
      <c r="AI5" s="208">
        <f>Overall_Draft!Z39</f>
        <v>2.8829240952380957</v>
      </c>
      <c r="AJ5" s="209">
        <f>Overall_Draft!AA39</f>
        <v>1.186388516558887</v>
      </c>
      <c r="AK5" s="208">
        <f>Overall_Draft!AB39</f>
        <v>2.4300000000000002</v>
      </c>
      <c r="AL5" s="208">
        <f>Overall_Draft!AC39</f>
        <v>4.1100000000000003</v>
      </c>
      <c r="AM5" s="208">
        <f>Overall_Draft!AD39</f>
        <v>0.50705199999999995</v>
      </c>
      <c r="AN5" s="209">
        <f>Overall_Draft!AE39</f>
        <v>0.12337031630170314</v>
      </c>
      <c r="AO5" s="208">
        <f>Overall_Draft!AF39</f>
        <v>1.88</v>
      </c>
      <c r="AP5" s="208">
        <f>Overall_Draft!AG39</f>
        <v>0.28000000000000003</v>
      </c>
      <c r="AQ5" s="208">
        <f>Overall_Draft!AH39</f>
        <v>0.16190476190476188</v>
      </c>
      <c r="AR5" s="209">
        <f>Overall_Draft!AI39</f>
        <v>0.57823129251700667</v>
      </c>
      <c r="AS5" s="210">
        <f>Overall_Draft!AJ39</f>
        <v>0.28000000000000003</v>
      </c>
      <c r="AV5" s="200" t="str">
        <f>Overall!S23</f>
        <v>Demand For Registrations 
post 20th of last month</v>
      </c>
      <c r="AW5" s="208">
        <f>Overall!T23</f>
        <v>5.4110873000000002</v>
      </c>
      <c r="AX5" s="208">
        <f>Overall!U23</f>
        <v>5.5059146142857145</v>
      </c>
      <c r="AY5" s="209">
        <f>Overall!V23</f>
        <v>1.017524632117045</v>
      </c>
      <c r="AZ5" s="208">
        <f>Overall!W23</f>
        <v>5.41</v>
      </c>
      <c r="BA5" s="210">
        <f>Overall!X23</f>
        <v>1.0873000000000133E-3</v>
      </c>
    </row>
    <row r="6" spans="2:53" ht="68.400000000000006" customHeight="1" x14ac:dyDescent="0.3">
      <c r="B6" s="219" t="str">
        <f>Overall_Draft!L24</f>
        <v>RAGHAV 
Avenue</v>
      </c>
      <c r="C6" s="220">
        <f>Overall_Draft!M24</f>
        <v>4.9720374999999999</v>
      </c>
      <c r="D6" s="220">
        <f>Overall_Draft!N24</f>
        <v>4.0402514142857155</v>
      </c>
      <c r="E6" s="221">
        <f t="shared" si="0"/>
        <v>0.81259471882215606</v>
      </c>
      <c r="F6" s="220">
        <f>Overall_Draft!P24</f>
        <v>4.17</v>
      </c>
      <c r="G6" s="220">
        <f>Overall_Draft!Q24</f>
        <v>0.12974858571428438</v>
      </c>
      <c r="H6" s="123" t="str">
        <f>Overall_Draft!L8</f>
        <v>RAGHAV Avenue</v>
      </c>
      <c r="I6" s="123">
        <f>Overall_Draft!M8</f>
        <v>54</v>
      </c>
      <c r="J6" s="208">
        <f ca="1">Overall_Draft!N8</f>
        <v>0</v>
      </c>
      <c r="K6" s="208">
        <f>Overall_Draft!O8</f>
        <v>4.2654045571428583</v>
      </c>
      <c r="L6" s="123">
        <f>Overall_Draft!P8</f>
        <v>7</v>
      </c>
      <c r="M6" s="208">
        <f>Overall_Draft!Q8</f>
        <v>23.9863678</v>
      </c>
      <c r="N6" s="208">
        <f>Overall_Draft!R8</f>
        <v>24.688711438095233</v>
      </c>
      <c r="O6" s="208">
        <f>Overall_Draft!S8</f>
        <v>2.6275067904761897</v>
      </c>
      <c r="P6" s="123">
        <f>Overall_Draft!T8</f>
        <v>11</v>
      </c>
      <c r="Q6" s="123">
        <f ca="1">Overall_Draft!U8</f>
        <v>8</v>
      </c>
      <c r="R6" s="123">
        <f>Overall_Draft!V8</f>
        <v>6</v>
      </c>
      <c r="S6" s="208">
        <f>Overall_Draft!W8</f>
        <v>0</v>
      </c>
      <c r="T6" s="108"/>
      <c r="U6" s="207" t="str">
        <f>Overall_Draft!L40</f>
        <v>RAGHAV 
Avenue</v>
      </c>
      <c r="V6" s="208">
        <f>Overall_Draft!M40</f>
        <v>0.45095040000000003</v>
      </c>
      <c r="W6" s="208">
        <f>Overall_Draft!N40</f>
        <v>0.78622270476190481</v>
      </c>
      <c r="X6" s="209">
        <f>Overall_Draft!O40</f>
        <v>1.7434793377761828</v>
      </c>
      <c r="Y6" s="208">
        <f>Overall_Draft!P40</f>
        <v>0.16</v>
      </c>
      <c r="Z6" s="208">
        <f>Overall_Draft!Q40</f>
        <v>0.56209019999999998</v>
      </c>
      <c r="AA6" s="208">
        <f>Overall_Draft!R40</f>
        <v>0.1680952380952381</v>
      </c>
      <c r="AB6" s="209">
        <f>Overall_Draft!S40</f>
        <v>0.29905384953382591</v>
      </c>
      <c r="AC6" s="208">
        <f>Overall_Draft!T40</f>
        <v>0</v>
      </c>
      <c r="AD6" s="208">
        <f>Overall_Draft!U40</f>
        <v>0</v>
      </c>
      <c r="AE6" s="208">
        <f>Overall_Draft!V40</f>
        <v>3.9048285714285716E-2</v>
      </c>
      <c r="AF6" s="209" t="e">
        <f>Overall_Draft!W40</f>
        <v>#DIV/0!</v>
      </c>
      <c r="AG6" s="208">
        <f>Overall_Draft!X40</f>
        <v>0</v>
      </c>
      <c r="AH6" s="208">
        <f>Overall_Draft!Y40</f>
        <v>1.4410871000000001</v>
      </c>
      <c r="AI6" s="208">
        <f>Overall_Draft!Z40</f>
        <v>0.77197622380952391</v>
      </c>
      <c r="AJ6" s="209">
        <f>Overall_Draft!AA40</f>
        <v>0.53569019097424708</v>
      </c>
      <c r="AK6" s="208">
        <f>Overall_Draft!AB40</f>
        <v>1.44</v>
      </c>
      <c r="AL6" s="208">
        <f>Overall_Draft!AC40</f>
        <v>2.79</v>
      </c>
      <c r="AM6" s="208">
        <f>Overall_Draft!AD40</f>
        <v>2.4820524857142856</v>
      </c>
      <c r="AN6" s="209">
        <f>Overall_Draft!AE40</f>
        <v>0.88962454685099845</v>
      </c>
      <c r="AO6" s="208">
        <f>Overall_Draft!AF40</f>
        <v>2.2799999999999998</v>
      </c>
      <c r="AP6" s="208">
        <f>Overall_Draft!AG40</f>
        <v>0.28999999999999998</v>
      </c>
      <c r="AQ6" s="208">
        <f>Overall_Draft!AH40</f>
        <v>0</v>
      </c>
      <c r="AR6" s="209">
        <f>Overall_Draft!AI40</f>
        <v>0</v>
      </c>
      <c r="AS6" s="210">
        <f>Overall_Draft!AJ40</f>
        <v>0.28999999999999998</v>
      </c>
      <c r="AV6" s="200" t="str">
        <f>Overall!S24</f>
        <v>Expected New Monthly
Registrations</v>
      </c>
      <c r="AW6" s="208">
        <f>Overall!T24</f>
        <v>13.69</v>
      </c>
      <c r="AX6" s="208">
        <f>Overall!U24</f>
        <v>6.7300527095238092</v>
      </c>
      <c r="AY6" s="209">
        <f>Overall!V24</f>
        <v>0.49160355803680128</v>
      </c>
      <c r="AZ6" s="208">
        <f>Overall!W24</f>
        <v>9.3699999999999992</v>
      </c>
      <c r="BA6" s="210">
        <f>Overall!X24</f>
        <v>4.32</v>
      </c>
    </row>
    <row r="7" spans="2:53" ht="68.400000000000006" customHeight="1" thickBot="1" x14ac:dyDescent="0.35">
      <c r="B7" s="219" t="str">
        <f>Overall_Draft!L25</f>
        <v>RAGHAV 
UTOPIA</v>
      </c>
      <c r="C7" s="220">
        <f>Overall_Draft!M25</f>
        <v>0</v>
      </c>
      <c r="D7" s="220">
        <f>Overall_Draft!N25</f>
        <v>0</v>
      </c>
      <c r="E7" s="221" t="str">
        <f t="shared" si="0"/>
        <v/>
      </c>
      <c r="F7" s="220">
        <f>Overall_Draft!P25</f>
        <v>0</v>
      </c>
      <c r="G7" s="220">
        <f>Overall_Draft!Q25</f>
        <v>0</v>
      </c>
      <c r="H7" s="123" t="str">
        <f>Overall_Draft!L9</f>
        <v>RAGHAV UTOPIA</v>
      </c>
      <c r="I7" s="123">
        <f>Overall_Draft!M9</f>
        <v>16</v>
      </c>
      <c r="J7" s="208">
        <f>Overall_Draft!N9</f>
        <v>0</v>
      </c>
      <c r="K7" s="208">
        <f>Overall_Draft!O9</f>
        <v>0.82010580952380951</v>
      </c>
      <c r="L7" s="123">
        <f>Overall_Draft!P9</f>
        <v>2</v>
      </c>
      <c r="M7" s="208">
        <f>Overall_Draft!Q9</f>
        <v>1.3584535</v>
      </c>
      <c r="N7" s="208">
        <f>Overall_Draft!R9</f>
        <v>1.4807047523809522</v>
      </c>
      <c r="O7" s="208">
        <f>Overall_Draft!S9</f>
        <v>0.47657660000000002</v>
      </c>
      <c r="P7" s="123">
        <f>Overall_Draft!T9</f>
        <v>13</v>
      </c>
      <c r="Q7" s="123">
        <f>Overall_Draft!U9</f>
        <v>6</v>
      </c>
      <c r="R7" s="123">
        <f>Overall_Draft!V9</f>
        <v>0</v>
      </c>
      <c r="S7" s="208">
        <f>Overall_Draft!W9</f>
        <v>0</v>
      </c>
      <c r="T7" s="108"/>
      <c r="U7" s="207" t="str">
        <f>Overall_Draft!L41</f>
        <v>Raghav 
UTOPIA</v>
      </c>
      <c r="V7" s="208">
        <f>Overall_Draft!M41</f>
        <v>0</v>
      </c>
      <c r="W7" s="208">
        <f>Overall_Draft!N41</f>
        <v>0</v>
      </c>
      <c r="X7" s="209" t="e">
        <f>Overall_Draft!O41</f>
        <v>#DIV/0!</v>
      </c>
      <c r="Y7" s="208">
        <f>Overall_Draft!P41</f>
        <v>0</v>
      </c>
      <c r="Z7" s="208">
        <f>Overall_Draft!Q41</f>
        <v>0.26872970000000002</v>
      </c>
      <c r="AA7" s="208">
        <f>Overall_Draft!R41</f>
        <v>0.57619047619047614</v>
      </c>
      <c r="AB7" s="209">
        <f>Overall_Draft!S41</f>
        <v>2.1441265189165026</v>
      </c>
      <c r="AC7" s="208">
        <f>Overall_Draft!T41</f>
        <v>0</v>
      </c>
      <c r="AD7" s="208">
        <f>Overall_Draft!U41</f>
        <v>0</v>
      </c>
      <c r="AE7" s="208">
        <f>Overall_Draft!V41</f>
        <v>0.23677247619047617</v>
      </c>
      <c r="AF7" s="209" t="e">
        <f>Overall_Draft!W41</f>
        <v>#DIV/0!</v>
      </c>
      <c r="AG7" s="208">
        <f>Overall_Draft!X41</f>
        <v>0</v>
      </c>
      <c r="AH7" s="208">
        <f>Overall_Draft!Y41</f>
        <v>0</v>
      </c>
      <c r="AI7" s="208">
        <f>Overall_Draft!Z41</f>
        <v>0</v>
      </c>
      <c r="AJ7" s="209" t="e">
        <f>Overall_Draft!AA41</f>
        <v>#DIV/0!</v>
      </c>
      <c r="AK7" s="208">
        <f>Overall_Draft!AB41</f>
        <v>0</v>
      </c>
      <c r="AL7" s="208">
        <f>Overall_Draft!AC41</f>
        <v>0</v>
      </c>
      <c r="AM7" s="208">
        <f>Overall_Draft!AD41</f>
        <v>0</v>
      </c>
      <c r="AN7" s="209" t="e">
        <f>Overall_Draft!AE41</f>
        <v>#DIV/0!</v>
      </c>
      <c r="AO7" s="208">
        <f>Overall_Draft!AF41</f>
        <v>0</v>
      </c>
      <c r="AP7" s="208">
        <f>Overall_Draft!AG41</f>
        <v>0</v>
      </c>
      <c r="AQ7" s="208">
        <f>Overall_Draft!AH41</f>
        <v>0</v>
      </c>
      <c r="AR7" s="209" t="e">
        <f>Overall_Draft!AI41</f>
        <v>#DIV/0!</v>
      </c>
      <c r="AS7" s="210">
        <f>Overall_Draft!AJ41</f>
        <v>0</v>
      </c>
      <c r="AV7" s="201" t="str">
        <f>Overall!S25</f>
        <v>New Slab / New 
Demand</v>
      </c>
      <c r="AW7" s="212">
        <f>Overall!T25</f>
        <v>12.419999999999998</v>
      </c>
      <c r="AX7" s="212">
        <f>Overall!U25</f>
        <v>8.2525539047619052</v>
      </c>
      <c r="AY7" s="213">
        <f>Overall!V25</f>
        <v>0.66445683613219864</v>
      </c>
      <c r="AZ7" s="212">
        <f>Overall!W25</f>
        <v>0.57000000000000006</v>
      </c>
      <c r="BA7" s="214">
        <f>Overall!X25</f>
        <v>11.849999999999998</v>
      </c>
    </row>
    <row r="8" spans="2:53" ht="68.400000000000006" customHeight="1" x14ac:dyDescent="0.3">
      <c r="B8" s="219" t="str">
        <f>Overall_Draft!L26</f>
        <v>RAGHAV 
Enclave</v>
      </c>
      <c r="C8" s="220">
        <f>Overall_Draft!M26</f>
        <v>4.2966185999999995</v>
      </c>
      <c r="D8" s="220">
        <f>Overall_Draft!N26</f>
        <v>2.0216195238095236</v>
      </c>
      <c r="E8" s="221">
        <f t="shared" si="0"/>
        <v>0.47051407444205634</v>
      </c>
      <c r="F8" s="220">
        <f>Overall_Draft!P26</f>
        <v>4.3</v>
      </c>
      <c r="G8" s="220">
        <f>Overall_Draft!Q26</f>
        <v>2.2783804761904762</v>
      </c>
      <c r="H8" s="123" t="str">
        <f>Overall_Draft!L10</f>
        <v>RAGHAV Enclave</v>
      </c>
      <c r="I8" s="123">
        <f>Overall_Draft!M10</f>
        <v>24</v>
      </c>
      <c r="J8" s="208">
        <f ca="1">Overall_Draft!N10</f>
        <v>0</v>
      </c>
      <c r="K8" s="208">
        <f>Overall_Draft!O10</f>
        <v>2.2055190476190476</v>
      </c>
      <c r="L8" s="123">
        <f>Overall_Draft!P10</f>
        <v>0</v>
      </c>
      <c r="M8" s="208">
        <f>Overall_Draft!Q10</f>
        <v>19.816487599999999</v>
      </c>
      <c r="N8" s="208">
        <f>Overall_Draft!R10</f>
        <v>18.298131247619047</v>
      </c>
      <c r="O8" s="208">
        <f>Overall_Draft!S10</f>
        <v>1.961495</v>
      </c>
      <c r="P8" s="123">
        <f>Overall_Draft!T10</f>
        <v>3</v>
      </c>
      <c r="Q8" s="123">
        <f ca="1">Overall_Draft!U10</f>
        <v>3</v>
      </c>
      <c r="R8" s="123">
        <f>Overall_Draft!V10</f>
        <v>1</v>
      </c>
      <c r="S8" s="208">
        <f>Overall_Draft!W10</f>
        <v>0</v>
      </c>
      <c r="T8" s="108"/>
      <c r="U8" s="207" t="str">
        <f>Overall_Draft!L42</f>
        <v>Raghav 
Enclave</v>
      </c>
      <c r="V8" s="208">
        <f>Overall_Draft!M42</f>
        <v>1.8166184000000001</v>
      </c>
      <c r="W8" s="208">
        <f>Overall_Draft!N42</f>
        <v>0.47619047619047622</v>
      </c>
      <c r="X8" s="209">
        <f>Overall_Draft!O42</f>
        <v>0.26213016238879677</v>
      </c>
      <c r="Y8" s="208">
        <f>Overall_Draft!P42</f>
        <v>1.82</v>
      </c>
      <c r="Z8" s="208">
        <f>Overall_Draft!Q42</f>
        <v>0.19</v>
      </c>
      <c r="AA8" s="208">
        <f>Overall_Draft!R42</f>
        <v>0.18389952380952382</v>
      </c>
      <c r="AB8" s="209">
        <f>Overall_Draft!S42</f>
        <v>0.96789223057644114</v>
      </c>
      <c r="AC8" s="208">
        <f>Overall_Draft!T42</f>
        <v>0</v>
      </c>
      <c r="AD8" s="208">
        <f>Overall_Draft!U42</f>
        <v>0</v>
      </c>
      <c r="AE8" s="208">
        <f>Overall_Draft!V42</f>
        <v>0</v>
      </c>
      <c r="AF8" s="209" t="e">
        <f>Overall_Draft!W42</f>
        <v>#DIV/0!</v>
      </c>
      <c r="AG8" s="208">
        <f>Overall_Draft!X42</f>
        <v>0</v>
      </c>
      <c r="AH8" s="208">
        <f>Overall_Draft!Y42</f>
        <v>1.1500002</v>
      </c>
      <c r="AI8" s="208">
        <f>Overall_Draft!Z42</f>
        <v>1.5454290476190475</v>
      </c>
      <c r="AJ8" s="209">
        <f>Overall_Draft!AA42</f>
        <v>1.3438511120424566</v>
      </c>
      <c r="AK8" s="208">
        <f>Overall_Draft!AB42</f>
        <v>1.1499999999999999</v>
      </c>
      <c r="AL8" s="208">
        <f>Overall_Draft!AC42</f>
        <v>1.33</v>
      </c>
      <c r="AM8" s="208">
        <f>Overall_Draft!AD42</f>
        <v>0</v>
      </c>
      <c r="AN8" s="209">
        <f>Overall_Draft!AE42</f>
        <v>0</v>
      </c>
      <c r="AO8" s="208">
        <f>Overall_Draft!AF42</f>
        <v>1.33</v>
      </c>
      <c r="AP8" s="208">
        <f>Overall_Draft!AG42</f>
        <v>0</v>
      </c>
      <c r="AQ8" s="208">
        <f>Overall_Draft!AH42</f>
        <v>0</v>
      </c>
      <c r="AR8" s="209" t="e">
        <f>Overall_Draft!AI42</f>
        <v>#DIV/0!</v>
      </c>
      <c r="AS8" s="210">
        <f>Overall_Draft!AJ42</f>
        <v>0</v>
      </c>
    </row>
    <row r="9" spans="2:53" ht="47.4" customHeight="1" thickBot="1" x14ac:dyDescent="0.35">
      <c r="B9" s="222" t="str">
        <f>Overall_Draft!L27</f>
        <v>Overall</v>
      </c>
      <c r="C9" s="223">
        <f>Overall_Draft!M27</f>
        <v>44.918094500000002</v>
      </c>
      <c r="D9" s="223">
        <f>Overall_Draft!N27</f>
        <v>27.527801653190476</v>
      </c>
      <c r="E9" s="224">
        <f t="shared" si="0"/>
        <v>0.61284437729633601</v>
      </c>
      <c r="F9" s="223">
        <f>Overall_Draft!P27</f>
        <v>22.59</v>
      </c>
      <c r="G9" s="223">
        <f>Overall_Draft!Q27</f>
        <v>-4.9378016531904763</v>
      </c>
      <c r="H9" s="225" t="str">
        <f>Overall_Draft!L11</f>
        <v>Total</v>
      </c>
      <c r="I9" s="225">
        <f>Overall_Draft!M11</f>
        <v>510</v>
      </c>
      <c r="J9" s="212">
        <f ca="1">Overall_Draft!N11</f>
        <v>0</v>
      </c>
      <c r="K9" s="212">
        <f>Overall_Draft!O11</f>
        <v>29.701636162714291</v>
      </c>
      <c r="L9" s="225">
        <f>Overall_Draft!P11</f>
        <v>18</v>
      </c>
      <c r="M9" s="212">
        <f>Overall_Draft!Q11</f>
        <v>433.22011949999995</v>
      </c>
      <c r="N9" s="212">
        <f>Overall_Draft!R11</f>
        <v>427.53805734366671</v>
      </c>
      <c r="O9" s="212">
        <f>Overall_Draft!S11</f>
        <v>16.891745180952384</v>
      </c>
      <c r="P9" s="225">
        <f>Overall_Draft!T11</f>
        <v>47</v>
      </c>
      <c r="Q9" s="225">
        <f ca="1">Overall_Draft!U11</f>
        <v>30</v>
      </c>
      <c r="R9" s="225">
        <f>Overall_Draft!V11</f>
        <v>25</v>
      </c>
      <c r="S9" s="212">
        <f>Overall_Draft!W11</f>
        <v>0</v>
      </c>
      <c r="T9" s="197"/>
      <c r="U9" s="211" t="str">
        <f>Overall_Draft!L43</f>
        <v>Overall</v>
      </c>
      <c r="V9" s="212">
        <f>Overall_Draft!M43</f>
        <v>13.397007200000001</v>
      </c>
      <c r="W9" s="212">
        <f>Overall_Draft!N43</f>
        <v>7.0392804246190455</v>
      </c>
      <c r="X9" s="213">
        <f>Overall_Draft!O43</f>
        <v>0.52543678745048705</v>
      </c>
      <c r="Y9" s="212">
        <f>Overall_Draft!P43</f>
        <v>7.2400000000000011</v>
      </c>
      <c r="Z9" s="212">
        <f>Overall_Draft!Q43</f>
        <v>2.2067938000000002</v>
      </c>
      <c r="AA9" s="212">
        <f>Overall_Draft!R43</f>
        <v>1.4775612380952379</v>
      </c>
      <c r="AB9" s="213">
        <f>Overall_Draft!S43</f>
        <v>0.66955110989311173</v>
      </c>
      <c r="AC9" s="212">
        <f>Overall_Draft!T43</f>
        <v>0.2</v>
      </c>
      <c r="AD9" s="212">
        <f>Overall_Draft!U43</f>
        <v>0</v>
      </c>
      <c r="AE9" s="212">
        <f>Overall_Draft!V43</f>
        <v>0.60369209523809519</v>
      </c>
      <c r="AF9" s="213" t="e">
        <f>Overall_Draft!W43</f>
        <v>#DIV/0!</v>
      </c>
      <c r="AG9" s="212">
        <f>Overall_Draft!X43</f>
        <v>0</v>
      </c>
      <c r="AH9" s="212">
        <f>Overall_Draft!Y43</f>
        <v>5.4110873000000002</v>
      </c>
      <c r="AI9" s="212">
        <f>Overall_Draft!Z43</f>
        <v>5.5059146142857145</v>
      </c>
      <c r="AJ9" s="213">
        <f>Overall_Draft!AA43</f>
        <v>1.017524632117045</v>
      </c>
      <c r="AK9" s="212">
        <f>Overall_Draft!AB43</f>
        <v>5.41</v>
      </c>
      <c r="AL9" s="212">
        <f>Overall_Draft!AC43</f>
        <v>13.69</v>
      </c>
      <c r="AM9" s="212">
        <f>Overall_Draft!AD43</f>
        <v>6.7300527095238092</v>
      </c>
      <c r="AN9" s="213">
        <f>Overall_Draft!AE43</f>
        <v>0.49160355803680128</v>
      </c>
      <c r="AO9" s="212">
        <f>Overall_Draft!AF43</f>
        <v>9.3699999999999992</v>
      </c>
      <c r="AP9" s="212">
        <f>Overall_Draft!AG43</f>
        <v>12.419999999999998</v>
      </c>
      <c r="AQ9" s="212">
        <f>Overall_Draft!AH43</f>
        <v>8.2525539047619052</v>
      </c>
      <c r="AR9" s="213">
        <f>Overall_Draft!AI43</f>
        <v>0.66445683613219864</v>
      </c>
      <c r="AS9" s="214">
        <f>Overall_Draft!AJ43</f>
        <v>0.57000000000000006</v>
      </c>
    </row>
    <row r="10" spans="2:53" ht="47.4" customHeight="1" x14ac:dyDescent="0.3"/>
    <row r="11" spans="2:53" ht="47.4" customHeight="1" x14ac:dyDescent="0.3"/>
    <row r="12" spans="2:53" ht="47.4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20fc211-b8f9-4216-8e59-f92e385e0bb9">
      <UserInfo>
        <DisplayName>Ankit Jain</DisplayName>
        <AccountId>34</AccountId>
        <AccountType/>
      </UserInfo>
      <UserInfo>
        <DisplayName>Poonam</DisplayName>
        <AccountId>10</AccountId>
        <AccountType/>
      </UserInfo>
      <UserInfo>
        <DisplayName>Rishabh Goyal</DisplayName>
        <AccountId>15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60A9DEC12A74CAEC81197F47A267F" ma:contentTypeVersion="6" ma:contentTypeDescription="Create a new document." ma:contentTypeScope="" ma:versionID="9541e711a3f8d554dd3b47338dc6045a">
  <xsd:schema xmlns:xsd="http://www.w3.org/2001/XMLSchema" xmlns:xs="http://www.w3.org/2001/XMLSchema" xmlns:p="http://schemas.microsoft.com/office/2006/metadata/properties" xmlns:ns2="1c221b64-27b2-4021-9af7-79dcbf083a1e" xmlns:ns3="720fc211-b8f9-4216-8e59-f92e385e0bb9" targetNamespace="http://schemas.microsoft.com/office/2006/metadata/properties" ma:root="true" ma:fieldsID="098a64c75b1331547a23e680aa36f5f3" ns2:_="" ns3:_="">
    <xsd:import namespace="1c221b64-27b2-4021-9af7-79dcbf083a1e"/>
    <xsd:import namespace="720fc211-b8f9-4216-8e59-f92e385e0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21b64-27b2-4021-9af7-79dcbf083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fc211-b8f9-4216-8e59-f92e385e0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0BD086-9051-4567-AFD1-B7C8873D4F2D}">
  <ds:schemaRefs>
    <ds:schemaRef ds:uri="720fc211-b8f9-4216-8e59-f92e385e0bb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1c221b64-27b2-4021-9af7-79dcbf083a1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55F499-65CE-441F-9D64-BBB026E75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221b64-27b2-4021-9af7-79dcbf083a1e"/>
    <ds:schemaRef ds:uri="720fc211-b8f9-4216-8e59-f92e385e0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7A7D67-D63F-48F5-85CA-5FAB13DF59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Overall - Testing</vt:lpstr>
      <vt:lpstr>Overall_Draft</vt:lpstr>
      <vt:lpstr>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Boob</dc:creator>
  <cp:keywords/>
  <dc:description/>
  <cp:lastModifiedBy>Poonam Pathak</cp:lastModifiedBy>
  <cp:revision/>
  <dcterms:created xsi:type="dcterms:W3CDTF">2024-04-10T11:08:08Z</dcterms:created>
  <dcterms:modified xsi:type="dcterms:W3CDTF">2026-05-07T14:27:50Z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0x0101006F060A9DEC12A74CAEC81197F47A267F</vt:lpwstr>
  </property>
</Properties>
</file>